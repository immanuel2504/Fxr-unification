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eting index" sheetId="1" state="visible" r:id="rId3"/>
    <sheet name="API tracker" sheetId="2" state="visible" r:id="rId4"/>
    <sheet name="Endpoint review" sheetId="3" state="visible" r:id="rId5"/>
    <sheet name="Field review"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<sst xmlns="http://schemas.openxmlformats.org/spreadsheetml/2006/main" count="2364" uniqueCount="979">
  <si>
    <t xml:space="preserve">Starfish and Vulcan API review</t>
  </si>
  <si>
    <t xml:space="preserve">Source rows</t>
  </si>
  <si>
    <t xml:space="preserve">Tracked findings</t>
  </si>
  <si>
    <t xml:space="preserve">Documentation Only</t>
  </si>
  <si>
    <t xml:space="preserve">Firmware scope</t>
  </si>
  <si>
    <t xml:space="preserve">F-013: reviewer confirms a need; exact fields and release remain open.</t>
  </si>
  <si>
    <t xml:space="preserve">Schema Update</t>
  </si>
  <si>
    <t xml:space="preserve">Firmware Change</t>
  </si>
  <si>
    <t xml:space="preserve">Missing feedback</t>
  </si>
  <si>
    <t xml:space="preserve">Endpoint row 32 and field row 16 truncated. Kamali field rows 17–28 absent.</t>
  </si>
  <si>
    <t xml:space="preserve">Developer Clarification</t>
  </si>
  <si>
    <t xml:space="preserve">No Change Required</t>
  </si>
  <si>
    <t xml:space="preserve">Review evidence</t>
  </si>
  <si>
    <t xml:space="preserve">Pinned repository snapshot and reviewer comments; no reader testing.</t>
  </si>
  <si>
    <t xml:space="preserve">Issue ID</t>
  </si>
  <si>
    <t xml:space="preserve">API Endpoint</t>
  </si>
  <si>
    <t xml:space="preserve">Method</t>
  </si>
  <si>
    <t xml:space="preserve">Change Type</t>
  </si>
  <si>
    <t xml:space="preserve">Status</t>
  </si>
  <si>
    <t xml:space="preserve">Finding</t>
  </si>
  <si>
    <t xml:space="preserve">Tracker row</t>
  </si>
  <si>
    <t xml:space="preserve">Walkthrough</t>
  </si>
  <si>
    <t xml:space="preserve">E-001</t>
  </si>
  <si>
    <t xml:space="preserve">/cloud/ble-config</t>
  </si>
  <si>
    <t xml:space="preserve">GET</t>
  </si>
  <si>
    <t xml:space="preserve">BLE path spelling in the review</t>
  </si>
  <si>
    <t xml:space="preserve">E-002</t>
  </si>
  <si>
    <t xml:space="preserve">PUT</t>
  </si>
  <si>
    <t xml:space="preserve">E-003</t>
  </si>
  <si>
    <t xml:space="preserve">/cloud/caCertificates</t>
  </si>
  <si>
    <t xml:space="preserve">CA-certificate REST mapping and path contract</t>
  </si>
  <si>
    <t xml:space="preserve">E-004</t>
  </si>
  <si>
    <t xml:space="preserve">/cloud/caCertificates/{caname}</t>
  </si>
  <si>
    <t xml:space="preserve">DELETE</t>
  </si>
  <si>
    <t xml:space="preserve">E-005</t>
  </si>
  <si>
    <t xml:space="preserve">E-006</t>
  </si>
  <si>
    <t xml:space="preserve">/cloud/eSimConfig</t>
  </si>
  <si>
    <t xml:space="preserve">eSIM model applicability</t>
  </si>
  <si>
    <t xml:space="preserve">E-007</t>
  </si>
  <si>
    <t xml:space="preserve">E-008</t>
  </si>
  <si>
    <t xml:space="preserve">/cloud/impinjGen2X</t>
  </si>
  <si>
    <t xml:space="preserve">Dedicated Gen2X endpoint support</t>
  </si>
  <si>
    <t xml:space="preserve">E-009</t>
  </si>
  <si>
    <t xml:space="preserve">E-010</t>
  </si>
  <si>
    <t xml:space="preserve">/cloud/localRestLogin</t>
  </si>
  <si>
    <t xml:space="preserve">Missing Starfish login operation</t>
  </si>
  <si>
    <t xml:space="preserve">E-011</t>
  </si>
  <si>
    <t xml:space="preserve">/cloud/logs/RcLog</t>
  </si>
  <si>
    <t xml:space="preserve">Concrete log URL is already represented</t>
  </si>
  <si>
    <t xml:space="preserve">E-012</t>
  </si>
  <si>
    <t xml:space="preserve">/cloud/logs/RgErrorLog</t>
  </si>
  <si>
    <t xml:space="preserve">E-013</t>
  </si>
  <si>
    <t xml:space="preserve">/cloud/logs/RgWarningLog</t>
  </si>
  <si>
    <t xml:space="preserve">E-014</t>
  </si>
  <si>
    <t xml:space="preserve">/cloud/logs/radioPacketLog</t>
  </si>
  <si>
    <t xml:space="preserve">E-015</t>
  </si>
  <si>
    <t xml:space="preserve">E-016</t>
  </si>
  <si>
    <t xml:space="preserve">/cloud/logs/syslog</t>
  </si>
  <si>
    <t xml:space="preserve">E-017</t>
  </si>
  <si>
    <t xml:space="preserve">E-018</t>
  </si>
  <si>
    <t xml:space="preserve">/cloud/networkInterfaces</t>
  </si>
  <si>
    <t xml:space="preserve">Intentional platform scope</t>
  </si>
  <si>
    <t xml:space="preserve">E-019</t>
  </si>
  <si>
    <t xml:space="preserve">/cloud/pass-through</t>
  </si>
  <si>
    <t xml:space="preserve">Missing Starfish component pass-through documentation</t>
  </si>
  <si>
    <t xml:space="preserve">E-020</t>
  </si>
  <si>
    <t xml:space="preserve">/cloud/preSelection</t>
  </si>
  <si>
    <t xml:space="preserve">E-021</t>
  </si>
  <si>
    <t xml:space="preserve">E-022</t>
  </si>
  <si>
    <t xml:space="preserve">/cloud/readPoints</t>
  </si>
  <si>
    <t xml:space="preserve">Internal read-points support versus public REST</t>
  </si>
  <si>
    <t xml:space="preserve">E-023</t>
  </si>
  <si>
    <t xml:space="preserve">/cloud/readerLocation</t>
  </si>
  <si>
    <t xml:space="preserve">E-024</t>
  </si>
  <si>
    <t xml:space="preserve">/cloud/region</t>
  </si>
  <si>
    <t xml:space="preserve">Region setter release status</t>
  </si>
  <si>
    <t xml:space="preserve">E-025</t>
  </si>
  <si>
    <t xml:space="preserve">/cloud/stack-led</t>
  </si>
  <si>
    <t xml:space="preserve">Stack LED scope already narrowed</t>
  </si>
  <si>
    <t xml:space="preserve">E-026</t>
  </si>
  <si>
    <t xml:space="preserve">E-027</t>
  </si>
  <si>
    <t xml:space="preserve">/cloud/updatePassword</t>
  </si>
  <si>
    <t xml:space="preserve">E-028</t>
  </si>
  <si>
    <t xml:space="preserve">/cloud/wifiNetworks</t>
  </si>
  <si>
    <t xml:space="preserve">E-029</t>
  </si>
  <si>
    <t xml:space="preserve">/cloud/logs/{logType}</t>
  </si>
  <si>
    <t xml:space="preserve">Log DELETE route and supported log types</t>
  </si>
  <si>
    <t xml:space="preserve">E-030</t>
  </si>
  <si>
    <t xml:space="preserve">Log retrieval response format and route mapping</t>
  </si>
  <si>
    <t xml:space="preserve">E-031</t>
  </si>
  <si>
    <t xml:space="preserve">/cloud/nameAndDescription</t>
  </si>
  <si>
    <t xml:space="preserve">E-032</t>
  </si>
  <si>
    <t xml:space="preserve">Truncated PUT name-and-description feedback</t>
  </si>
  <si>
    <t xml:space="preserve">F-001</t>
  </si>
  <si>
    <t xml:space="preserve">/cloud/app-led</t>
  </si>
  <si>
    <t xml:space="preserve">LED response wrapper</t>
  </si>
  <si>
    <t xml:space="preserve">F-002</t>
  </si>
  <si>
    <t xml:space="preserve">LED request field location</t>
  </si>
  <si>
    <t xml:space="preserve">F-002A</t>
  </si>
  <si>
    <t xml:space="preserve">LED query compatibility requirement</t>
  </si>
  <si>
    <t xml:space="preserve">F-003</t>
  </si>
  <si>
    <t xml:space="preserve">/cloud/apps/{appname}/autostart</t>
  </si>
  <si>
    <t xml:space="preserve">Redundant REST appname body</t>
  </si>
  <si>
    <t xml:space="preserve">F-004</t>
  </si>
  <si>
    <t xml:space="preserve">/cloud/apps/{appname}/start</t>
  </si>
  <si>
    <t xml:space="preserve">F-005</t>
  </si>
  <si>
    <t xml:space="preserve">/cloud/apps/{appname}/stop</t>
  </si>
  <si>
    <t xml:space="preserve">F-006</t>
  </si>
  <si>
    <t xml:space="preserve">/cloud/apps/{appname}/uninstall</t>
  </si>
  <si>
    <t xml:space="preserve">F-007</t>
  </si>
  <si>
    <t xml:space="preserve">/cloud/certificates</t>
  </si>
  <si>
    <t xml:space="preserve">Certificate-list array wrapper</t>
  </si>
  <si>
    <t xml:space="preserve">F-008</t>
  </si>
  <si>
    <t xml:space="preserve">/cloud/certificates/{certname}</t>
  </si>
  <si>
    <t xml:space="preserve">Certificate type location already corrected</t>
  </si>
  <si>
    <t xml:space="preserve">F-008A</t>
  </si>
  <si>
    <t xml:space="preserve">Starfish certificate-name body compatibility</t>
  </si>
  <si>
    <t xml:space="preserve">F-009</t>
  </si>
  <si>
    <t xml:space="preserve">/cloud/network</t>
  </si>
  <si>
    <t xml:space="preserve">Starfish network schema advertises unreleased nesting</t>
  </si>
  <si>
    <t xml:space="preserve">F-009A</t>
  </si>
  <si>
    <t xml:space="preserve">Network wire-key spelling</t>
  </si>
  <si>
    <t xml:space="preserve">F-009B</t>
  </si>
  <si>
    <t xml:space="preserve">Future Starfish interface setters</t>
  </si>
  <si>
    <t xml:space="preserve">F-010</t>
  </si>
  <si>
    <t xml:space="preserve">/cloud/stop</t>
  </si>
  <si>
    <t xml:space="preserve">Intentional stop payload difference</t>
  </si>
  <si>
    <t xml:space="preserve">F-011</t>
  </si>
  <si>
    <t xml:space="preserve">/cloud/apps/install</t>
  </si>
  <si>
    <t xml:space="preserve">Application-download retry release</t>
  </si>
  <si>
    <t xml:space="preserve">F-012</t>
  </si>
  <si>
    <t xml:space="preserve">/cloud/apps/{appname}/pass-through</t>
  </si>
  <si>
    <t xml:space="preserve">Vulcan command supports string or object</t>
  </si>
  <si>
    <t xml:space="preserve">F-012A</t>
  </si>
  <si>
    <t xml:space="preserve">Starfish pass-through parity decision</t>
  </si>
  <si>
    <t xml:space="preserve">F-013</t>
  </si>
  <si>
    <t xml:space="preserve">/cloud/cloudConfig</t>
  </si>
  <si>
    <t xml:space="preserve">Starfish firmware parity statement needs a field list</t>
  </si>
  <si>
    <t xml:space="preserve">F-013A</t>
  </si>
  <si>
    <t xml:space="preserve">Remove unsupported enableLocalRest from Vulcan schema</t>
  </si>
  <si>
    <t xml:space="preserve">F-013B</t>
  </si>
  <si>
    <t xml:space="preserve">Missing supported connection option fields</t>
  </si>
  <si>
    <t xml:space="preserve">F-014</t>
  </si>
  <si>
    <t xml:space="preserve">/cloud/config</t>
  </si>
  <si>
    <t xml:space="preserve">Config xml field is already present</t>
  </si>
  <si>
    <t xml:space="preserve">F-014A</t>
  </si>
  <si>
    <t xml:space="preserve">GPIO debounce missing from Vulcan config</t>
  </si>
  <si>
    <t xml:space="preserve">F-014B</t>
  </si>
  <si>
    <t xml:space="preserve">Config response enableLocalRest</t>
  </si>
  <si>
    <t xml:space="preserve">F-014C</t>
  </si>
  <si>
    <t xml:space="preserve">Config response connection options</t>
  </si>
  <si>
    <t xml:space="preserve">F-015</t>
  </si>
  <si>
    <t xml:space="preserve">Config request xml and claimed GPI 3/4 events</t>
  </si>
  <si>
    <t xml:space="preserve">F-015A</t>
  </si>
  <si>
    <t xml:space="preserve">F-015B</t>
  </si>
  <si>
    <t xml:space="preserve">Config request connection options</t>
  </si>
  <si>
    <t xml:space="preserve">F-016</t>
  </si>
  <si>
    <t xml:space="preserve">/cloud/gpi</t>
  </si>
  <si>
    <t xml:space="preserve">Missing fourth Starfish GPI field</t>
  </si>
  <si>
    <t xml:space="preserve">F-017</t>
  </si>
  <si>
    <t xml:space="preserve">/cloud/mode</t>
  </si>
  <si>
    <t xml:space="preserve">Mode model applicability and inventory protocol</t>
  </si>
  <si>
    <t xml:space="preserve">F-017A</t>
  </si>
  <si>
    <t xml:space="preserve">Mode tag metadata names and representation</t>
  </si>
  <si>
    <t xml:space="preserve">F-018</t>
  </si>
  <si>
    <t xml:space="preserve">F-018A</t>
  </si>
  <si>
    <t xml:space="preserve">F-019</t>
  </si>
  <si>
    <t xml:space="preserve">Network GET body exists on both</t>
  </si>
  <si>
    <t xml:space="preserve">F-020</t>
  </si>
  <si>
    <t xml:space="preserve">Network response comment has the wrong method</t>
  </si>
  <si>
    <t xml:space="preserve">F-020A</t>
  </si>
  <si>
    <t xml:space="preserve">Network GET response variants and model scope</t>
  </si>
  <si>
    <t xml:space="preserve">F-021</t>
  </si>
  <si>
    <t xml:space="preserve">/cloud/ntpServer</t>
  </si>
  <si>
    <t xml:space="preserve">NTP server aliases and second server</t>
  </si>
  <si>
    <t xml:space="preserve">F-022</t>
  </si>
  <si>
    <t xml:space="preserve">/cloud/os</t>
  </si>
  <si>
    <t xml:space="preserve">OS download retry and timeout support</t>
  </si>
  <si>
    <t xml:space="preserve">F-022A</t>
  </si>
  <si>
    <t xml:space="preserve">OS authentication keys and transport differences</t>
  </si>
  <si>
    <t xml:space="preserve">F-023</t>
  </si>
  <si>
    <t xml:space="preserve">/cloud/readerCapabilities</t>
  </si>
  <si>
    <t xml:space="preserve">Capabilities response wire shapes and case</t>
  </si>
  <si>
    <t xml:space="preserve">F-023A</t>
  </si>
  <si>
    <t xml:space="preserve">Capabilities are model-dependent</t>
  </si>
  <si>
    <t xml:space="preserve">F-024</t>
  </si>
  <si>
    <t xml:space="preserve">Region response fields and numeric types</t>
  </si>
  <si>
    <t xml:space="preserve">F-025</t>
  </si>
  <si>
    <t xml:space="preserve">/cloud/start</t>
  </si>
  <si>
    <t xml:space="preserve">Starfish start Gen2X flag missing</t>
  </si>
  <si>
    <t xml:space="preserve">F-026</t>
  </si>
  <si>
    <t xml:space="preserve">/cloud/status</t>
  </si>
  <si>
    <t xml:space="preserve">Starfish Gen2X status missing</t>
  </si>
  <si>
    <t xml:space="preserve">F-026A</t>
  </si>
  <si>
    <t xml:space="preserve">Status spelling, NTP and upgrade variants</t>
  </si>
  <si>
    <t xml:space="preserve">F-027</t>
  </si>
  <si>
    <t xml:space="preserve">/cloud/supportedStandardList</t>
  </si>
  <si>
    <t xml:space="preserve">Supported standards region location and enum</t>
  </si>
  <si>
    <t xml:space="preserve">F-028</t>
  </si>
  <si>
    <t xml:space="preserve">Standards response case and boolean representation</t>
  </si>
  <si>
    <t xml:space="preserve">API review tracker</t>
  </si>
  <si>
    <t xml:space="preserve">Amber cells: record developer decisions, then update Change Type and Status. Keep source feedback unchanged.</t>
  </si>
  <si>
    <t xml:space="preserve">Scope: 60 source rows. No live reader tests supplied. Firmware confirmation for F-013 is endpoint-level only; exact code changes remain open.</t>
  </si>
  <si>
    <t xml:space="preserve">Original Comment</t>
  </si>
  <si>
    <t xml:space="preserve">HTTP Method</t>
  </si>
  <si>
    <t xml:space="preserve">Platform</t>
  </si>
  <si>
    <t xml:space="preserve">Schema Path</t>
  </si>
  <si>
    <t xml:space="preserve">Starfish Behavior</t>
  </si>
  <si>
    <t xml:space="preserve">Vulcan Behavior</t>
  </si>
  <si>
    <t xml:space="preserve">Identified Difference</t>
  </si>
  <si>
    <t xml:space="preserve">Expected Behavior</t>
  </si>
  <si>
    <t xml:space="preserve">Required Action</t>
  </si>
  <si>
    <t xml:space="preserve">Developer Question</t>
  </si>
  <si>
    <t xml:space="preserve">Developer Confirmation</t>
  </si>
  <si>
    <t xml:space="preserve">Source Reference</t>
  </si>
  <si>
    <t xml:space="preserve">Developer Walkthrough</t>
  </si>
  <si>
    <t xml:space="preserve">Evidence / Limitations</t>
  </si>
  <si>
    <t xml:space="preserve">Starfish:
Firmware confirms FX9600 does not support it.
Kamali:
supported only in fxr90/60</t>
  </si>
  <si>
    <t xml:space="preserve">Vulcan</t>
  </si>
  <si>
    <t xml:space="preserve">Starfish: Operation absent -&gt; #/paths/~1cloud~1ble-config/get
Vulcan: $["ble"] -&gt; #/components/schemas/GetBleConfigResponse/properties/ble
Vulcan: $["ble"]["enable"] -&gt; #/components/schemas/GetBleConfigResponse/properties/ble/properties/enable
Vulcan: $["ble"]["scanIntervalSec"] -&gt; #/components/schemas/GetBleConfigResponse/properties/ble/properties/scanIntervalSec</t>
  </si>
  <si>
    <t xml:space="preserve">No operation in supplied schema; implementation is not established by that absence.</t>
  </si>
  <si>
    <t xml:space="preserve">Documented GET /cloud/bleConfig. Get BLE configuration. Parameters: none declared. Request: none declared. Success: 200 [application/json]: type="object".</t>
  </si>
  <si>
    <t xml:space="preserve">Workbook uses /cloud/ble-config; the current Vulcan schema and narrative use /cloud/bleConfig. Both reviewers exclude FX9600.</t>
  </si>
  <si>
    <t xml:space="preserve">Use the documented /cloud/bleConfig spelling and retain FXR60/FXR90 applicability.</t>
  </si>
  <si>
    <t xml:space="preserve">Correct the endpoint label in the consolidated review and cross-references; do not create an alias endpoint.</t>
  </si>
  <si>
    <t xml:space="preserve">No behavior decision is needed for the spelling correction. If /cloud/ble-config is intended as a supported alias, provide an actual request result and firmware version.</t>
  </si>
  <si>
    <t xml:space="preserve">Not yet recorded</t>
  </si>
  <si>
    <t xml:space="preserve">Open</t>
  </si>
  <si>
    <t xml:space="preserve">Endpoint review, source 1, Excel row 7</t>
  </si>
  <si>
    <t xml:space="preserve">Both reviewers confirm FXR-only support; Vulcan operation description and path agree on /cloud/bleConfig.
Source limitation: Path spelling retained from source; verify against the approved schema.</t>
  </si>
  <si>
    <t xml:space="preserve">Starfish: Operation absent -&gt; #/paths/~1cloud~1ble-config/put
Vulcan: $["ble"] -&gt; #/components/schemas/SetBleConfigRequest/properties/ble
Vulcan: $["ble"]["enable"] -&gt; #/components/schemas/SetBleConfigRequest/properties/ble/properties/enable
Vulcan: $["ble"]["scanIntervalSec"] -&gt; #/components/schemas/SetBleConfigRequest/properties/ble/properties/scanIntervalSec</t>
  </si>
  <si>
    <t xml:space="preserve">Documented PUT /cloud/bleConfig. Set BLE configuration. Parameters: none declared. Request: type="object"; required=["ble"]. Success: 200 []: no body schema.</t>
  </si>
  <si>
    <t xml:space="preserve">Endpoint review, source 2, Excel row 8</t>
  </si>
  <si>
    <t xml:space="preserve">Starfish:
FX9600 supports this (undocumented)
Kamali:
not supported in fx9600 (local rest mapping missing ,mqtt available)</t>
  </si>
  <si>
    <t xml:space="preserve">Both</t>
  </si>
  <si>
    <t xml:space="preserve">Starfish: Operation absent -&gt; #/paths/~1cloud~1caCertificates/get
Vulcan: $ -&gt; #/components/schemas/caCertificateList.v1
Vulcan: $[*] -&gt; #/components/schemas/caCertificateList.v1/items</t>
  </si>
  <si>
    <t xml:space="preserve">Documented GET /cloud/caCertificates. List installed CA certificates. Parameters: none declared. Request: none declared. Success: 200 [application/json]: type="array".</t>
  </si>
  <si>
    <t xml:space="preserve">Starfish says FX9600 supports this REST operation; Kamali says local REST mapping is missing while MQTT exists. Starfish has no operation in this snapshot.</t>
  </si>
  <si>
    <t xml:space="preserve">Public REST support and the accepted URL/body must be established separately for each method and firmware release.</t>
  </si>
  <si>
    <t xml:space="preserve">Obtain a local REST request/response on FX9600. If supported, add its schema. If absent, decide whether REST exposure is an approved firmware requirement. Preserve MQTT scope separately.</t>
  </si>
  <si>
    <t xml:space="preserve">On which FX9600 firmware does GET CA-certificate management work over local REST? Is the accepted URL /cloud/caCertificates or /cloud/caCertificates/{caname}, and is the certificate name in JSON name or the path? If no mapping exists, is adding it required?</t>
  </si>
  <si>
    <t xml:space="preserve">Endpoint review, source 3, Excel row 9</t>
  </si>
  <si>
    <t xml:space="preserve">Repository schema and original reviewer statements; no live reader test supplied.
Source limitation: MQTT availability does not confirm local REST support.</t>
  </si>
  <si>
    <t xml:space="preserve">Starfish: Operation absent -&gt; #/paths/~1cloud~1caCertificates/delete
Vulcan: $ -&gt; #/components/schemas/deleteCACertificate.v1
Vulcan: $["name"] -&gt; #/components/schemas/deleteCACertificate.v1/properties/name</t>
  </si>
  <si>
    <t xml:space="preserve">Documented DELETE /cloud/caCertificates. Delete CA certificate. Parameters: none declared. Request: type="object"; required=["name"]. Success: 200 [application/json]: type="string".</t>
  </si>
  <si>
    <t xml:space="preserve">Starfish says FX9600 supports this REST operation; Kamali says local REST mapping is missing while MQTT exists. Starfish has no operation in this snapshot. The workbook path /cloud/caCertificates/{caname} is absent in both files. Vulcan instead uses DELETE /cloud/caCertificates with JSON name; its description says caname is rejected.</t>
  </si>
  <si>
    <t xml:space="preserve">On which FX9600 firmware does DELETE CA-certificate management work over local REST? Is the accepted URL /cloud/caCertificates or /cloud/caCertificates/{caname}, and is the certificate name in JSON name or the path? If no mapping exists, is adding it required?</t>
  </si>
  <si>
    <t xml:space="preserve">Endpoint review, source 4, Excel row 10</t>
  </si>
  <si>
    <t xml:space="preserve">Starfish: Operation absent -&gt; #/paths/~1cloud~1caCertificates/put
Vulcan: $ -&gt; #/components/schemas/installCACertificate.v1
Vulcan: $["name"] -&gt; #/components/schemas/installCACertificate.v1/properties/name
Vulcan: $["content"] -&gt; #/components/schemas/installCACertificate.v1/properties/content</t>
  </si>
  <si>
    <t xml:space="preserve">Documented PUT /cloud/caCertificates. Install CA certificate. Parameters: none declared. Request: type="object"; required=["name","content"]. Success: 200 [application/json]: type="string".</t>
  </si>
  <si>
    <t xml:space="preserve">Starfish says FX9600 supports this REST operation; Kamali says local REST mapping is missing while MQTT exists. Starfish has no operation in this snapshot. The workbook path /cloud/caCertificates/{caname} is absent in both files. Vulcan instead uses PUT /cloud/caCertificates with JSON name and content.</t>
  </si>
  <si>
    <t xml:space="preserve">On which FX9600 firmware does PUT CA-certificate management work over local REST? Is the accepted URL /cloud/caCertificates or /cloud/caCertificates/{caname}, and is the certificate name in JSON name or the path? If no mapping exists, is adding it required?</t>
  </si>
  <si>
    <t xml:space="preserve">Endpoint review, source 5, Excel row 11</t>
  </si>
  <si>
    <t xml:space="preserve">Starfish: Operation absent -&gt; #/paths/~1cloud~1eSimConfig/get
Vulcan: $["eid"] -&gt; #/components/schemas/GetEsimConfigResponse/properties/eid
Vulcan: $["imei"] -&gt; #/components/schemas/GetEsimConfigResponse/properties/imei
Vulcan: $["profiles"] -&gt; #/components/schemas/GetEsimConfigResponse/properties/profiles</t>
  </si>
  <si>
    <t xml:space="preserve">Documented GET /cloud/eSimConfig. Gets the eSIM configuration. Parameters: none declared. Request: none declared. Success: 200 [application/json]: type="object".</t>
  </si>
  <si>
    <t xml:space="preserve">Both reviewers describe FXR60/FXR90 support, but the current Vulcan narrative explicitly says FXR90 only. Starfish has no eSIM operation.</t>
  </si>
  <si>
    <t xml:space="preserve">Keep FX9600 excluded. Establish whether any FXR60 variant supports this eSIM operation.</t>
  </si>
  <si>
    <t xml:space="preserve">Resolve the model scope before changing Applies To or promising FXR60 support.</t>
  </si>
  <si>
    <t xml:space="preserve">Does eSIM configuration apply exclusively to FXR90 as the current description states, or to a specific FXR60 SKU too? Identify the supported model and firmware.</t>
  </si>
  <si>
    <t xml:space="preserve">Endpoint review, source 6, Excel row 12</t>
  </si>
  <si>
    <t xml:space="preserve">Repository schema and original reviewer statements; no live reader test supplied.</t>
  </si>
  <si>
    <t xml:space="preserve">Starfish: Operation absent -&gt; #/paths/~1cloud~1eSimConfig/put
Vulcan: $["operation"] -&gt; #/components/schemas/SetEsimConfigRequest/properties/operation
Vulcan: $["profileNickName"] -&gt; #/components/schemas/SetEsimConfigRequest/properties/profileNickName
Vulcan: $["activationID"] -&gt; #/components/schemas/SetEsimConfigRequest/properties/activationID</t>
  </si>
  <si>
    <t xml:space="preserve">Documented PUT /cloud/eSimConfig. Sets the eSIM configuration. Parameters: none declared. Request: type="object"; required=["operation","profileNickName"]. Success: 200 [application/json]: type="string".</t>
  </si>
  <si>
    <t xml:space="preserve">Endpoint review, source 7, Excel row 13</t>
  </si>
  <si>
    <t xml:space="preserve">Starfish:
FX9600 supports this (undocumented)
Kamali:
supported only in fxr90/60</t>
  </si>
  <si>
    <t xml:space="preserve">Starfish</t>
  </si>
  <si>
    <t xml:space="preserve">Starfish: Operation absent -&gt; #/paths/~1cloud~1impinjGen2X/get
Vulcan: $["fastID"] -&gt; #/components/schemas/GetImpinjGen2XResponse/properties/fastID
Vulcan: $["fastID"]["enabled"] -&gt; #/components/schemas/GetImpinjGen2XResponse/properties/fastID/properties/enabled
Vulcan: $["tagProtect"] -&gt; #/components/schemas/GetImpinjGen2XResponse/properties/tagProtect
Vulcan: $["tagFocus"] -&gt; #/components/schemas/GetImpinjGen2XResponse/properties/tagFocus
Vulcan: $["tagQuieting"] -&gt; #/components/schemas/impinjTagQuieting.v1</t>
  </si>
  <si>
    <t xml:space="preserve">Documented GET /cloud/impinjGen2X. Get Impinj Gen2X configuration. Parameters: none declared. Request: none declared. Success: 200 [application/json]: type="object".</t>
  </si>
  <si>
    <t xml:space="preserve">Starfish reports undocumented FX9600 support, while Kamali says FXR60/FXR90 only. The dedicated operation is absent from the Starfish specification.</t>
  </si>
  <si>
    <t xml:space="preserve">Establish GET /cloud/impinjGen2X support independently of applyImpinjGen2X in /start and impinjGen2X in /status.</t>
  </si>
  <si>
    <t xml:space="preserve">Request a firmware-versioned local REST example. Add schema if implemented; create a firmware requirement only if the missing dedicated operation is approved.</t>
  </si>
  <si>
    <t xml:space="preserve">Does FX9600 implement GET /cloud/impinjGen2X on the target release? Supply the accepted request/returned object and status code, or confirm that only start/status Gen2X integration exists.</t>
  </si>
  <si>
    <t xml:space="preserve">Endpoint review, source 8, Excel row 14</t>
  </si>
  <si>
    <t xml:space="preserve">Repository schema and original reviewer statements; no live reader test supplied.
Source limitation: Gen2X fields in /start and /status do not establish support for this endpoint.</t>
  </si>
  <si>
    <t xml:space="preserve">Starfish: Operation absent -&gt; #/paths/~1cloud~1impinjGen2X/put
Vulcan: $["fastID"] -&gt; #/components/schemas/SetImpinjGen2XRequest/properties/fastID
Vulcan: $["fastID"]["enabled"] -&gt; #/components/schemas/SetImpinjGen2XRequest/properties/fastID/properties/enabled
Vulcan: $["tagProtect"] -&gt; #/components/schemas/SetImpinjGen2XRequest/properties/tagProtect
Vulcan: $["tagFocus"] -&gt; #/components/schemas/SetImpinjGen2XRequest/properties/tagFocus
Vulcan: $["tagQuieting"] -&gt; #/components/schemas/impinjTagQuieting.v1</t>
  </si>
  <si>
    <t xml:space="preserve">Documented PUT /cloud/impinjGen2X. Set Impinj Gen2X configuration. Parameters: none declared. Request: type="object". Success: 200 [application/json]: type="object"; required=["message"].</t>
  </si>
  <si>
    <t xml:space="preserve">Establish PUT /cloud/impinjGen2X support independently of applyImpinjGen2X in /start and impinjGen2X in /status.</t>
  </si>
  <si>
    <t xml:space="preserve">Does FX9600 implement PUT /cloud/impinjGen2X on the target release? Supply the accepted request/returned object and status code, or confirm that only start/status Gen2X integration exists.</t>
  </si>
  <si>
    <t xml:space="preserve">Endpoint review, source 9, Excel row 15</t>
  </si>
  <si>
    <t xml:space="preserve">Starfish:
FX9600 supports this (undocumented)
Kamali:
supported in fx9600 undocumented</t>
  </si>
  <si>
    <t xml:space="preserve">Starfish: Operation absent -&gt; #/paths/~1cloud~1localRestLogin/get
Vulcan: $ -&gt; #/components/schemas/LocalrestloginResponse
Vulcan: $["code"] -&gt; #/components/schemas/LocalrestloginResponse/properties/code
Vulcan: $["message"] -&gt; #/components/schemas/LocalrestloginResponse/properties/message</t>
  </si>
  <si>
    <t xml:space="preserve">Documented GET /cloud/localRestLogin. Reader Login. Parameters: none declared. Request: none declared. Success: 200 [application/json]: type="object".</t>
  </si>
  <si>
    <t xml:space="preserve">Both reviewers confirm FX9600 local REST login, but Starfish paths omit GET /cloud/localRestLogin. Vulcan documents code and message.</t>
  </si>
  <si>
    <t xml:space="preserve">Document the existing Starfish authentication operation using its actual response and authentication scheme.</t>
  </si>
  <si>
    <t xml:space="preserve">Add the missing Starfish path and narrative after obtaining its token response. Do not copy a live token or infer identical token semantics.</t>
  </si>
  <si>
    <t xml:space="preserve">For the supported FX9600 firmware, does this GET use Basic authentication and return {code,message} as Vulcan does? Supply a redacted example and error responses.</t>
  </si>
  <si>
    <t xml:space="preserve">Endpoint review, source 10, Excel row 16</t>
  </si>
  <si>
    <t xml:space="preserve">Starfish:
FX9600 supports this (documented) 9600 supports Delete /cloud/logs/{logType} for log types "syslog" "radioPacketLog" and Get /cloud/logs/{logType} for log types "syslog" "radioPacketLog" "RgErrorLog" "RgWarningLog" "RcLog"
Kamali:
supported in fx9600 undocumented</t>
  </si>
  <si>
    <t xml:space="preserve">Starfish: path logType -&gt; #/paths/~1cloud~1logs~1{logType}/parameters/0
Starfish: $ -&gt; #/paths/~1cloud~1logs~1{logType}/get/responses/200/content/application~1gzip/schema
Vulcan: $ -&gt; #/components/schemas/GetRcLogResponse
Vulcan: $["binary"] -&gt; #/components/schemas/GetRcLogResponse/properties/binary
Vulcan: $["filename"] -&gt; #/components/schemas/GetRcLogResponse/properties/filename</t>
  </si>
  <si>
    <t xml:space="preserve">Documented GET /cloud/logs/{logType}. Retrieve Log. Parameters: path logType. Request: none declared. Success: 200 [application/gzip]: type/constraints not specified here.</t>
  </si>
  <si>
    <t xml:space="preserve">Documented GET /cloud/logs/RcLog. Retrieve RcInfoLog. Parameters: none declared. Request: none declared. Success: 200 [application/json]: type="object".</t>
  </si>
  <si>
    <t xml:space="preserve">Starfish represents this URL as /cloud/logs/{logType}; its enum includes RcLog. Vulcan documents the concrete URL. Both reviewers report support.</t>
  </si>
  <si>
    <t xml:space="preserve">Retain both documentation representations. They describe the same concrete route for this log type.</t>
  </si>
  <si>
    <t xml:space="preserve">No endpoint implementation change. In a unified index, link the concrete URL to the parameterized Starfish operation. Response-format and DELETE-enum questions are tracked in E-030 and E-029.</t>
  </si>
  <si>
    <t xml:space="preserve">None for this route-support finding. See E-029/E-030 for unresolved contracts.</t>
  </si>
  <si>
    <t xml:space="preserve">Resolved</t>
  </si>
  <si>
    <t xml:space="preserve">Endpoint review, source 11, Excel row 17</t>
  </si>
  <si>
    <t xml:space="preserve">Both reviewer statements confirm support; both operation definitions represent the concrete URL. This closure covers route presence only.
Source limitation: Reviewers disagree on documented versus undocumented, not on support.</t>
  </si>
  <si>
    <t xml:space="preserve">Starfish:
FX9600 supports this (documented)
Kamali:
supported in fx9600 undocumented</t>
  </si>
  <si>
    <t xml:space="preserve">Starfish: path logType -&gt; #/paths/~1cloud~1logs~1{logType}/parameters/0
Starfish: $ -&gt; #/paths/~1cloud~1logs~1{logType}/get/responses/200/content/application~1gzip/schema
Vulcan: $ -&gt; #/components/schemas/GetRgErrorLogResponse
Vulcan: $["binary"] -&gt; #/components/schemas/GetRgErrorLogResponse/properties/binary
Vulcan: $["filename"] -&gt; #/components/schemas/GetRgErrorLogResponse/properties/filename</t>
  </si>
  <si>
    <t xml:space="preserve">Documented GET /cloud/logs/RgErrorLog. Retrieve RgErrorLog. Parameters: none declared. Request: none declared. Success: 200 [application/json]: type="object".</t>
  </si>
  <si>
    <t xml:space="preserve">Starfish represents this URL as /cloud/logs/{logType}; its enum includes RgErrorLog. Vulcan documents the concrete URL. Both reviewers report support.</t>
  </si>
  <si>
    <t xml:space="preserve">Endpoint review, source 12, Excel row 18</t>
  </si>
  <si>
    <t xml:space="preserve">Starfish: path logType -&gt; #/paths/~1cloud~1logs~1{logType}/parameters/0
Starfish: $ -&gt; #/paths/~1cloud~1logs~1{logType}/get/responses/200/content/application~1gzip/schema
Vulcan: $ -&gt; #/components/schemas/GetRgWarningLogResponse
Vulcan: $["binary"] -&gt; #/components/schemas/GetRgWarningLogResponse/properties/binary
Vulcan: $["filename"] -&gt; #/components/schemas/GetRgWarningLogResponse/properties/filename</t>
  </si>
  <si>
    <t xml:space="preserve">Documented GET /cloud/logs/RgWarningLog. Retrieve RgWarningLog. Parameters: none declared. Request: none declared. Success: 200 [application/json]: type="object".</t>
  </si>
  <si>
    <t xml:space="preserve">Starfish represents this URL as /cloud/logs/{logType}; its enum includes RgWarningLog. Vulcan documents the concrete URL. Both reviewers report support.</t>
  </si>
  <si>
    <t xml:space="preserve">Endpoint review, source 13, Excel row 19</t>
  </si>
  <si>
    <t xml:space="preserve">Starfish: path logType -&gt; #/paths/~1cloud~1logs~1{logType}/parameters/0
Vulcan: No target field declared -&gt; #/paths/~1cloud~1logs~1radioPacketLog/delete</t>
  </si>
  <si>
    <t xml:space="preserve">Documented DELETE /cloud/logs/{logType}. Purge Log. Parameters: path logType. Request: none declared. Success: 200 []: no body schema.</t>
  </si>
  <si>
    <t xml:space="preserve">Documented DELETE /cloud/logs/radioPacketLog. Purge Log. Parameters: none declared. Request: none declared. Success: 200 [application/json]: no body schema.</t>
  </si>
  <si>
    <t xml:space="preserve">Starfish represents this URL as /cloud/logs/{logType}; its enum includes radioPacketLog. Vulcan documents the concrete URL. Both reviewers report support.</t>
  </si>
  <si>
    <t xml:space="preserve">Endpoint review, source 14, Excel row 20</t>
  </si>
  <si>
    <t xml:space="preserve">Starfish: path logType -&gt; #/paths/~1cloud~1logs~1{logType}/parameters/0
Starfish: $ -&gt; #/paths/~1cloud~1logs~1{logType}/get/responses/200/content/application~1gzip/schema
Vulcan: $ -&gt; #/components/schemas/GetRadioPacketLogResponse
Vulcan: $["binary"] -&gt; #/components/schemas/GetRadioPacketLogResponse/properties/binary
Vulcan: $["filename"] -&gt; #/components/schemas/GetRadioPacketLogResponse/properties/filename</t>
  </si>
  <si>
    <t xml:space="preserve">Documented GET /cloud/logs/radioPacketLog. Retrieve radioPacketLog. Parameters: none declared. Request: none declared. Success: 200 [application/json]: type="object".</t>
  </si>
  <si>
    <t xml:space="preserve">Endpoint review, source 15, Excel row 21</t>
  </si>
  <si>
    <t xml:space="preserve">Starfish: path logType -&gt; #/paths/~1cloud~1logs~1{logType}/parameters/0
Vulcan: No target field declared -&gt; #/paths/~1cloud~1logs~1syslog/delete</t>
  </si>
  <si>
    <t xml:space="preserve">Documented DELETE /cloud/logs/syslog. Purge Log. Parameters: none declared. Request: none declared. Success: 200 [application/json]: no body schema.</t>
  </si>
  <si>
    <t xml:space="preserve">Starfish represents this URL as /cloud/logs/{logType}; its enum includes syslog. Vulcan documents the concrete URL. Both reviewers report support.</t>
  </si>
  <si>
    <t xml:space="preserve">Endpoint review, source 16, Excel row 22</t>
  </si>
  <si>
    <t xml:space="preserve">Starfish: path logType -&gt; #/paths/~1cloud~1logs~1{logType}/parameters/0
Starfish: $ -&gt; #/paths/~1cloud~1logs~1{logType}/get/responses/200/content/application~1gzip/schema
Vulcan: $ -&gt; #/components/schemas/GetLogsSyslogResponse
Vulcan: $["binary"] -&gt; #/components/schemas/GetLogsSyslogResponse/properties/binary
Vulcan: $["filename"] -&gt; #/components/schemas/GetLogsSyslogResponse/properties/filename</t>
  </si>
  <si>
    <t xml:space="preserve">Documented GET /cloud/logs/syslog. Retrieve Syslog. Parameters: none declared. Request: none declared. Success: 200 [application/json]: type="object".</t>
  </si>
  <si>
    <t xml:space="preserve">Endpoint review, source 17, Excel row 23</t>
  </si>
  <si>
    <t xml:space="preserve">Starfish:
Firmware confirms FX9600 does not support it.
Kamali:
not supported in fx9600</t>
  </si>
  <si>
    <t xml:space="preserve">Starfish: Operation absent -&gt; #/paths/~1cloud~1networkInterfaces/get
Vulcan: $["availableNetworkInterfaces"] -&gt; #/components/schemas/GetNetworkinterfacesResponse/properties/availableNetworkInterfaces
Vulcan: $["availableNetworkInterfaces"][*] -&gt; #/components/schemas/GetNetworkinterfacesResponse/properties/availableNetworkInterfaces/items</t>
  </si>
  <si>
    <t xml:space="preserve">Documented GET /cloud/networkInterfaces. Retrieves network interfaces. Parameters: none declared. Request: none declared. Success: 200 [application/json]: type="object"; required=["availableNetworkInterfaces"].</t>
  </si>
  <si>
    <t xml:space="preserve">Vulcan defines the operation and Starfish does not. Reviewer feedback supports that platform boundary.</t>
  </si>
  <si>
    <t xml:space="preserve">Retain the current platform-specific API scope.</t>
  </si>
  <si>
    <t xml:space="preserve">Keep the endpoint limited to the documented platform. No cross-platform feature implementation is requested by the source comment.</t>
  </si>
  <si>
    <t xml:space="preserve">None unless the product requirement changes. A parity request would need a separate approved requirement.</t>
  </si>
  <si>
    <t xml:space="preserve">Endpoint review, source 18, Excel row 24</t>
  </si>
  <si>
    <t xml:space="preserve">Repository path presence and reviewer platform-scope statement. For readerLocation, Starfish explicitly excludes FX9600; Kamali confirms FXR support without independently excluding FX9600.</t>
  </si>
  <si>
    <t xml:space="preserve">Starfish: Operation absent -&gt; #/paths/~1cloud~1pass-through/put
Vulcan: $ -&gt; #/components/schemas/SetPassthruRequest
Vulcan: $["component"] -&gt; #/components/schemas/SetPassthruRequest/properties/component
Vulcan: $["payload"] -&gt; #/components/schemas/SetPassthruRequest/properties/payload</t>
  </si>
  <si>
    <t xml:space="preserve">Documented PUT /cloud/pass-through. Pass-through command. Parameters: none declared. Request: type="object". Success: 200 [application/json]: type="object".</t>
  </si>
  <si>
    <t xml:space="preserve">Both reviewers report FX9600 support. The provided Starfish file omits PUT /cloud/pass-through although its app-specific pass-through operation exists. Vulcan accepts component and payload.</t>
  </si>
  <si>
    <t xml:space="preserve">Add documentation for the existing component operation without conflating it with /cloud/apps/{appname}/pass-through.</t>
  </si>
  <si>
    <t xml:space="preserve">Locate the documented Starfish reference mentioned by its reviewer and obtain the accepted component payload before adding the missing operation to this file.</t>
  </si>
  <si>
    <t xml:space="preserve">For FX9600 component pass-through, are component="RC" and payload strings accepted at this exact URL? Supply the existing reference or a redacted transaction.</t>
  </si>
  <si>
    <t xml:space="preserve">Endpoint review, source 19, Excel row 25</t>
  </si>
  <si>
    <t xml:space="preserve">Starfish: Operation absent -&gt; #/paths/~1cloud~1preSelection/get
Vulcan: $["preSelection"] -&gt; #/components/schemas/GetPreSelectionResponse/properties/preSelection</t>
  </si>
  <si>
    <t xml:space="preserve">Documented GET /cloud/preSelection. Returns whether the rxSawFilter is enabled or disabled. Parameters: none declared. Request: none declared. Success: 200 [application/json]: type="object".</t>
  </si>
  <si>
    <t xml:space="preserve">Endpoint review, source 20, Excel row 26</t>
  </si>
  <si>
    <t xml:space="preserve">Starfish: Operation absent -&gt; #/paths/~1cloud~1preSelection/put
Vulcan: $["preSelection"] -&gt; #/components/schemas/SetPreSelectionRequest/properties/preSelection</t>
  </si>
  <si>
    <t xml:space="preserve">Documented PUT /cloud/preSelection. Enables or disables the rxSawFilter. Parameters: none declared. Request: type="object". Success: 200 [application/json]: type="string".</t>
  </si>
  <si>
    <t xml:space="preserve">Endpoint review, source 21, Excel row 27</t>
  </si>
  <si>
    <t xml:space="preserve">Starfish:
FX9600 supports this internally (undocumented) API is not exposed to outside
Kamali:
not supported in fx9600 (local rest mapping missing,mqtt available)</t>
  </si>
  <si>
    <t xml:space="preserve">Starfish: Operation absent -&gt; #/paths/~1cloud~1readPoints/get
Vulcan: $ -&gt; #/components/schemas/GetReadpointsResponse
Vulcan: $[*] -&gt; #/components/schemas/GetReadpointsResponse/items</t>
  </si>
  <si>
    <t xml:space="preserve">Documented GET /cloud/readPoints. Gets the read points on the reader. Parameters: none declared. Request: none declared. Success: 200 [application/json]: type="array".</t>
  </si>
  <si>
    <t xml:space="preserve">Starfish says readPoints is internal and not exposed externally; Kamali reports missing local REST mapping and available MQTT. Only Vulcan has this public path.</t>
  </si>
  <si>
    <t xml:space="preserve">Keep FX9600 out of the public REST reference unless external exposure is explicitly required and released.</t>
  </si>
  <si>
    <t xml:space="preserve">Record the exposure decision. If internal/MQTT-only is intentional, close as No Change Required. If external REST is required, define a mapping change and its release.</t>
  </si>
  <si>
    <t xml:space="preserve">Is FX9600 GET /cloud/readPoints intentionally internal/MQTT-only, or must it become a public authenticated local REST endpoint? If required, identify the output contract and release.</t>
  </si>
  <si>
    <t xml:space="preserve">Endpoint review, source 22, Excel row 28</t>
  </si>
  <si>
    <t xml:space="preserve">Repository schema and original reviewer statements; no live reader test supplied.
Source limitation: Internal support and public REST availability are different.</t>
  </si>
  <si>
    <t xml:space="preserve">Starfish:
Firmware confirms FX9600 does not support it.
Kamali:
supported in fxr90/60</t>
  </si>
  <si>
    <t xml:space="preserve">Starfish: Operation absent -&gt; #/paths/~1cloud~1readerLocation/get
Vulcan: $["lastReportedTime"] -&gt; #/components/schemas/GetGpsCoordinatesResponse/properties/lastReportedTime
Vulcan: $["latitude"] -&gt; #/components/schemas/GetGpsCoordinatesResponse/properties/latitude
Vulcan: $["longitude"] -&gt; #/components/schemas/GetGpsCoordinatesResponse/properties/longitude
Vulcan: $["satellitesUsed"] -&gt; #/components/schemas/GetGpsCoordinatesResponse/properties/satellitesUsed</t>
  </si>
  <si>
    <t xml:space="preserve">Documented GET /cloud/readerLocation. Gets the GPS coordinates (lat/long). Parameters: none declared. Request: none declared. Success: 200 [application/json]: type="object".</t>
  </si>
  <si>
    <t xml:space="preserve">Endpoint review, source 23, Excel row 29</t>
  </si>
  <si>
    <t xml:space="preserve">Repository path presence and reviewer platform-scope statement. For readerLocation, Starfish explicitly excludes FX9600; Kamali confirms FXR support without independently excluding FX9600.
Source limitation: Kamali confirms FXR support but does not explicitly deny FX9600 support.</t>
  </si>
  <si>
    <t xml:space="preserve">Starfish:
FX9600 supports this (undocumented) FX9600 currently implementation is going on
Kamali:
supported in fxr90/60 .</t>
  </si>
  <si>
    <t xml:space="preserve">Starfish: Operation absent -&gt; #/paths/~1cloud~1region/put
Vulcan: $ -&gt; #/components/schemas/SetRegionRequest
Vulcan: $["country"] -&gt; #/components/schemas/SetRegionRequest/properties/country
Vulcan: $["standardname"] -&gt; #/components/schemas/SetRegionRequest/properties/standardname
Vulcan: $["isLBT"] -&gt; #/components/schemas/SetRegionRequest/properties/isLBT
Vulcan: $["channeldata"] -&gt; #/components/schemas/SetRegionRequest/properties/channeldata
Vulcan: $["channeldata"][*] -&gt; #/components/schemas/SetRegionRequest/properties/channeldata/items</t>
  </si>
  <si>
    <t xml:space="preserve">Documented PUT /cloud/region. Update region information. Parameters: none declared. Request: type="object"; required=["country","standardname"]. Success: 200 [application/json]: type="string".</t>
  </si>
  <si>
    <t xml:space="preserve">Starfish feedback simultaneously says supported and implementation ongoing. PUT /cloud/region is absent in the supplied Starfish file. Vulcan defines country, standardname, isLBT and channeldata.</t>
  </si>
  <si>
    <t xml:space="preserve">Establish whether a released FX9600 setter exists and which request keys it accepts.</t>
  </si>
  <si>
    <t xml:space="preserve">Obtain the implementation ticket, release state and exact FX9600 request. Keep any future support labeled unreleased until confirmed.</t>
  </si>
  <si>
    <t xml:space="preserve">Has FX9600 PUT /cloud/region shipped? Provide the firmware version and accepted keys, or identify the pending implementation and approved acceptance criteria.</t>
  </si>
  <si>
    <t xml:space="preserve">Endpoint review, source 24, Excel row 30</t>
  </si>
  <si>
    <t xml:space="preserve">Repository schema and original reviewer statements; no live reader test supplied.
Source limitation: Starfish says both supported and implementation in progress; Kamali only confirms FXR support.</t>
  </si>
  <si>
    <t xml:space="preserve">Starfish:
Firmware confirms FX9600 does not support it.
Kamali:
supported only in fxr60</t>
  </si>
  <si>
    <t xml:space="preserve">Starfish: Operation absent -&gt; #/paths/~1cloud~1stack-led/get
Vulcan: $["status"] -&gt; #/components/schemas/GetStackledResponse/oneOf/0/properties/status
Vulcan: $["status"] -&gt; #/components/schemas/GetStackledResponse/oneOf/1/properties/status</t>
  </si>
  <si>
    <t xml:space="preserve">Documented GET /cloud/stack-led. Retrieves stack LED state. Parameters: none declared. Request: none declared. Success: 200 [application/json]: type/constraints not specified here.</t>
  </si>
  <si>
    <t xml:space="preserve">Kamali restricts support to FXR60; the current narrative is more specific: FXR60 Premium only, excluding other FXR60 variants and FXR90. Starfish omits it.</t>
  </si>
  <si>
    <t xml:space="preserve">Retain FXR60 Premium applicability as documented.</t>
  </si>
  <si>
    <t xml:space="preserve">No additional scope correction is needed in this snapshot. Preserve the SKU restriction in the unified index.</t>
  </si>
  <si>
    <t xml:space="preserve">None for the requested FXR90 exclusion. Reopen only if the Premium SKU restriction is disputed.</t>
  </si>
  <si>
    <t xml:space="preserve">Endpoint review, source 25, Excel row 31</t>
  </si>
  <si>
    <t xml:space="preserve">Both current operation descriptions explicitly exclude FXR90; reviewer comments agree on FXR60 scope.</t>
  </si>
  <si>
    <t xml:space="preserve">Starfish: Operation absent -&gt; #/paths/~1cloud~1stack-led/put
Vulcan: $["color"] -&gt; #/components/schemas/SetStackledRequest/properties/color
Vulcan: $["brightness"] -&gt; #/components/schemas/SetStackledRequest/properties/brightness
Vulcan: $["flash"] -&gt; #/components/schemas/SetStackledRequest/properties/flash
Vulcan: $["seconds"] -&gt; #/components/schemas/SetStackledRequest/properties/seconds</t>
  </si>
  <si>
    <t xml:space="preserve">Documented PUT /cloud/stack-led. Updates stack LED state. Parameters: none declared. Request: type="object"; required=["color","flash","seconds"]. Success: 200 [application/json]: type="string".</t>
  </si>
  <si>
    <t xml:space="preserve">Endpoint review, source 26, Excel row 32</t>
  </si>
  <si>
    <t xml:space="preserve">Starfish:
firmware confirms FX9600 does not support it.
Kamali:
not supported in fx9600</t>
  </si>
  <si>
    <t xml:space="preserve">Starfish: Operation absent -&gt; #/paths/~1cloud~1updatePassword/put
Vulcan: $["userName"] -&gt; #/components/schemas/UpdatePasswordRequest/properties/userName
Vulcan: $["currentPassword"] -&gt; #/components/schemas/UpdatePasswordRequest/properties/currentPassword
Vulcan: $["newPassword"] -&gt; #/components/schemas/UpdatePasswordRequest/properties/newPassword</t>
  </si>
  <si>
    <t xml:space="preserve">Documented PUT /cloud/updatePassword. Updates the local REST login password. Parameters: none declared. Request: type="object"; required=["userName","currentPassword","newPassword"]. Success: 200 [application/json]: type="string".</t>
  </si>
  <si>
    <t xml:space="preserve">Endpoint review, source 27, Excel row 33</t>
  </si>
  <si>
    <t xml:space="preserve">Starfish: Operation absent -&gt; #/paths/~1cloud~1wifiNetworks/get
Vulcan: $["availableWifiNetworks"] -&gt; #/components/schemas/GetAvailablewifinetworksResponse/properties/availableWifiNetworks
Vulcan: $["availableWifiNetworks"][*] -&gt; #/components/schemas/GetAvailablewifinetworksResponse/properties/availableWifiNetworks/items</t>
  </si>
  <si>
    <t xml:space="preserve">Documented GET /cloud/wifiNetworks. Retrieves available Wi-Fi networks. Parameters: none declared. Request: none declared. Success: 200 [application/json]: type="object"; required=["availableWifiNetworks"].</t>
  </si>
  <si>
    <t xml:space="preserve">Endpoint review, source 28, Excel row 34</t>
  </si>
  <si>
    <t xml:space="preserve">Starfish:
Confirm if FXR supports this (undocumented), or firmware confirms FXR does not support it.
Kamali:
I don’t think this is a valid command</t>
  </si>
  <si>
    <t xml:space="preserve">Starfish DELETE /cloud/logs/{logType} allows five enum values, but its reviewer identifies only syslog and radioPacketLog for DELETE. Vulcan explicitly defines DELETE for those two concrete URLs. The placeholder is not a literal command.</t>
  </si>
  <si>
    <t xml:space="preserve">Keep the two represented purge operations; establish whether RcLog, RgErrorLog and RgWarningLog are truly deletable.</t>
  </si>
  <si>
    <t xml:space="preserve">Correct the review assumption that a templated route is invalid. Ask Starfish to reconcile the DELETE enum; narrow it if documentation is wrong or define an approved firmware extension if required.</t>
  </si>
  <si>
    <t xml:space="preserve">Do FX9600 DELETE requests for RcLog, RgErrorLog and RgWarningLog succeed on the target firmware? Should the enum be limited to syslog and radioPacketLog? For FXR, are any other concrete purge URLs supported?</t>
  </si>
  <si>
    <t xml:space="preserve">Endpoint review, source 29, Excel row 35</t>
  </si>
  <si>
    <t xml:space="preserve">Repository schema and original reviewer statements; no live reader test supplied.
Source limitation: {logType} is a path placeholder. Starfish row 11 lists syslog and radioPacketLog for DELETE.</t>
  </si>
  <si>
    <t xml:space="preserve">Starfish:
Confirm if FXR supports this (undocumented), or firmware confirms FXR does not support it.
Kamali:
is this the same as /cloud/logs (we have GET and PUT for this) .supported by all platforms</t>
  </si>
  <si>
    <t xml:space="preserve">Starfish GET /cloud/logs/{logType} lists five values and application/gzip content with no explicit schema type. Vulcan has all five concrete GET URLs with JSON filename and Base64 binary. GET/PUT /cloud/logs configures logging and is a different route.</t>
  </si>
  <si>
    <t xml:space="preserve">Document each platform’s actual response media type and wrapper; keep concrete and templated route representations equivalent where logType matches.</t>
  </si>
  <si>
    <t xml:space="preserve">Retain the existing routes. Capture response headers/body for the five types on FX9600 and FXR before unifying the download contract.</t>
  </si>
  <si>
    <t xml:space="preserve">Does FX9600 return an HTTP binary attachment or a JSON object containing filename and Base64 binary for each listed logType? Are any response differences intentional?</t>
  </si>
  <si>
    <t xml:space="preserve">Endpoint review, source 30, Excel row 36</t>
  </si>
  <si>
    <t xml:space="preserve">Repository schema and original reviewer statements; no live reader test supplied.
Source limitation: A parameterized path describes concrete URLs; /cloud/logs is not automatically equivalent.</t>
  </si>
  <si>
    <t xml:space="preserve">Starfish:
Confirm if FXR supports this (undocumented), or firmware confirms FXR does not support it.
Kamali:
currently not supported in fxr90/60</t>
  </si>
  <si>
    <t xml:space="preserve">Starfish: $["name"] -&gt; #/components/schemas/getNameAndDescription/properties/name
Starfish: $["description"] -&gt; #/components/schemas/getNameAndDescription/properties/description
Vulcan: Operation absent -&gt; #/paths/~1cloud~1nameAndDescription/get</t>
  </si>
  <si>
    <t xml:space="preserve">Documented GET /cloud/nameAndDescription. GET Name and Description. Parameters: none declared. Request: none declared. Success: 200 [application/json]: type="object"; required=["name","description"].</t>
  </si>
  <si>
    <t xml:space="preserve">Starfish defines the operation and Vulcan does not. Reviewer feedback supports that platform boundary.</t>
  </si>
  <si>
    <t xml:space="preserve">Endpoint review, source 31, Excel row 37</t>
  </si>
  <si>
    <t xml:space="preserve">Starfish:
Confirm if FXR supports this (undocumented), or firmware confirms FXR does not support it.
Kamali:
cu</t>
  </si>
  <si>
    <t xml:space="preserve">Starfish: $ -&gt; #/components/schemas/setNameAndDescription
Starfish: $["name"] -&gt; #/components/schemas/setNameAndDescription/properties/name
Starfish: $["description"] -&gt; #/components/schemas/setNameAndDescription/properties/description
Vulcan: Operation absent -&gt; #/paths/~1cloud~1nameAndDescription/put</t>
  </si>
  <si>
    <t xml:space="preserve">Documented PUT /cloud/nameAndDescription. PUT Name and Description. Parameters: none declared. Request: type="object"; required=["name","description"]. Success: 200 []: no body schema.</t>
  </si>
  <si>
    <t xml:space="preserve">Starfish defines a required name/description body; Vulcan has no operation. Kamali’s PUT comment is only "cu". GET feedback does not establish PUT support.</t>
  </si>
  <si>
    <t xml:space="preserve">Determine the FXR PUT support decision from the complete comment and a firmware-versioned contract.</t>
  </si>
  <si>
    <t xml:space="preserve">Obtain the remainder of Kamali’s source row 32. Keep this open; do not infer the missing text from GET.</t>
  </si>
  <si>
    <t xml:space="preserve">What is the full PUT /cloud/nameAndDescription comment beginning "cu"? Is the operation intentionally unsupported on FXR60/FXR90, already implemented, or a requested firmware addition?</t>
  </si>
  <si>
    <t xml:space="preserve">Endpoint review, source 32, Excel row 38</t>
  </si>
  <si>
    <t xml:space="preserve">Repository schema and original reviewer statements; no live reader test supplied.
Source limitation: Kamali source ends at “cu”.</t>
  </si>
  <si>
    <t xml:space="preserve">Starfish:
Why: Incorrect in documentation
Needed: yes
Fix: Same as vulcan.
Kamali:
Why: both starfish and vulcan are returning status
Needed: no change is needed..check if schema is properly updated .</t>
  </si>
  <si>
    <t xml:space="preserve">Starfish: $ -&gt; #/paths/~1cloud~1app-led/get/responses/200/content/text~1html/schema
Vulcan: $ -&gt; #/components/schemas/GetAppledResponse
Vulcan: $["status"] -&gt; #/components/schemas/GetAppledResponse/properties/status</t>
  </si>
  <si>
    <t xml:space="preserve">Schema: $: type="string"; enum=["DEFAULT","NON_DEFAULT"]</t>
  </si>
  <si>
    <t xml:space="preserve">Schema: $: type="object"; $.status: type="string"; enum=["DEFAULT","NON_DEFAULT"]</t>
  </si>
  <si>
    <t xml:space="preserve">Starfish 200 response is a bare string enum; Vulcan returns an object with status. Both reviewers say the readers return status.</t>
  </si>
  <si>
    <t xml:space="preserve">Starfish should describe the existing {"status":"DEFAULT"} / {"status":"NON_DEFAULT"} object.</t>
  </si>
  <si>
    <t xml:space="preserve">Replace the Starfish response schema with an object containing status and update the example. Confirm requiredness from a response capture.</t>
  </si>
  <si>
    <t xml:space="preserve">Is status always present on FX9600, including the default state, and are additional fields ever returned?</t>
  </si>
  <si>
    <t xml:space="preserve">Field review, source 1, Excel row 7</t>
  </si>
  <si>
    <t xml:space="preserve">Starfish:
Why: Incorrect in documentation
Needed: yes
Fix: Same as vulcan. The parameters are intended to be part of the body
Kamali:
Why: If color,flash,seconds are provided in json body the command works in starfish..
Needed: may need a schema update in starfish..or need to check if both json body and query params need to be supported in vulcan</t>
  </si>
  <si>
    <t xml:space="preserve">Starfish: query color -&gt; #/paths/~1cloud~1app-led/put/parameters/0
Starfish: query seconds -&gt; #/paths/~1cloud~1app-led/put/parameters/1
Starfish: query flash -&gt; #/paths/~1cloud~1app-led/put/parameters/2
Vulcan: $ -&gt; #/components/schemas/SetAppledRequest
Vulcan: $["color"] -&gt; #/components/schemas/SetAppledRequest/properties/color
Vulcan: $["flash"] -&gt; #/components/schemas/SetAppledRequest/properties/flash
Vulcan: $["seconds"] -&gt; #/components/schemas/SetAppledRequest/properties/seconds</t>
  </si>
  <si>
    <t xml:space="preserve">Schema: query color; query seconds; query flash</t>
  </si>
  <si>
    <t xml:space="preserve">Schema: $: type="object"; required=["color","flash","seconds"]; $.color: type="string"; enum=["red","amber","green","off"]; $.flash: type="boolean"; $.seconds: type="number"</t>
  </si>
  <si>
    <t xml:space="preserve">Starfish defines color/seconds/flash as query parameters with no body; Vulcan defines a JSON body. Both reviews explicitly confirm JSON-body support on Starfish.</t>
  </si>
  <si>
    <t xml:space="preserve">Represent the working Starfish JSON body. Query compatibility is a separate decision in F-002A.</t>
  </si>
  <si>
    <t xml:space="preserve">Move the documented Starfish fields to requestBody and update examples. Do not introduce an adapter or firmware change for already-working JSON requests.</t>
  </si>
  <si>
    <t xml:space="preserve">For the JSON body, is flash required or optional on FX9600, and must seconds be an integer? Starfish currently marks flash optional and seconds integer; Vulcan requires flash and uses number.</t>
  </si>
  <si>
    <t xml:space="preserve">Field review, source 2, Excel row 8</t>
  </si>
  <si>
    <t xml:space="preserve">Repository schema and original reviewer statements; no live reader test supplied.
Source limitation: The original claim that a body/query adapter is mandatory is not supported by these comments.</t>
  </si>
  <si>
    <t xml:space="preserve">Kamali asks whether Vulcan must also accept Starfish query parameters. JSON body already works on both; the current schemas do not establish compatibility requirements.</t>
  </si>
  <si>
    <t xml:space="preserve">Keep JSON body as the documented contract. Add query support only if backward compatibility is explicitly required.</t>
  </si>
  <si>
    <t xml:space="preserve">Decide whether query-only and mixed query/body requests are supported, rejected or deprecated. If new support is required, specify precedence, validation and release.</t>
  </si>
  <si>
    <t xml:space="preserve">Must FXR60/FXR90 accept legacy ?color=green&amp;flash=false&amp;seconds=10 requests? Does FX9600 still accept them, and what wins if both query and body values are supplied?</t>
  </si>
  <si>
    <t xml:space="preserve">Starfish:
Why: yes
Needed: No changes required
Fix: All app based requests have appname + request in the url for local rest requests but have the "appname" key for mqtt type requests
Kamali:
Why: appname is not required in the payload..works even when removed..needs a schema update
Needed: needs schema update</t>
  </si>
  <si>
    <t xml:space="preserve">Starfish: path appname -&gt; #/paths/~1cloud~1apps~1{appname}~1autostart/parameters/0
Starfish: $ -&gt; #/paths/~1cloud~1apps~1{appname}~1autostart/put/requestBody/content/application~1json/schema
Starfish: $["autostart"] -&gt; #/paths/~1cloud~1apps~1{appname}~1autostart/put/requestBody/content/application~1json/schema/properties/autostart
Vulcan: path appname -&gt; #/paths/~1cloud~1apps~1{appname}~1autostart/parameters/0
Vulcan: $ -&gt; #/components/schemas/SetAutostartuserappRequest
Vulcan: $["appname"] -&gt; #/components/schemas/SetAutostartuserappRequest/properties/appname
Vulcan: $["autostart"] -&gt; #/components/schemas/SetAutostartuserappRequest/properties/autostart</t>
  </si>
  <si>
    <t xml:space="preserve">Schema: path appname; $: type="object"; $.autostart: type="boolean"; default=true</t>
  </si>
  <si>
    <t xml:space="preserve">Schema: path appname; $: type="object"; required=["autostart"]; $.appname: type="string"; $.autostart: type="boolean"</t>
  </si>
  <si>
    <t xml:space="preserve">Both schemas require path appname. Vulcan also declares optional body appname; Kamali confirms the request works without it. Starfish keeps body autostart.</t>
  </si>
  <si>
    <t xml:space="preserve">Use path appname for local REST and body autostart. MQTT payload routing remains separate.</t>
  </si>
  <si>
    <t xml:space="preserve">Remove redundant Vulcan REST body appname and its examples. Retain autostart and its required flag.</t>
  </si>
  <si>
    <t xml:space="preserve">Does path appname take precedence if an old client also sends a different body appname? Record deprecation behavior without requiring the redundant field.</t>
  </si>
  <si>
    <t xml:space="preserve">Field review, source 3, Excel row 9</t>
  </si>
  <si>
    <t xml:space="preserve">Repository schema and original reviewer statements; no live reader test supplied.
Source limitation: Starfish “No changes required” does not remove the FXR schema action.</t>
  </si>
  <si>
    <t xml:space="preserve">Starfish:
Why: yes
Needed: No changes required
Kamali:
Why: appname is not required in the payload..works even when removed..needs a schema update
Needed: needs schema update</t>
  </si>
  <si>
    <t xml:space="preserve">Starfish: path appname -&gt; #/paths/~1cloud~1apps~1{appname}~1start/parameters/0
Vulcan: path appname -&gt; #/paths/~1cloud~1apps~1{appname}~1start/parameters/0
Vulcan: $ -&gt; #/components/schemas/SetStartuserappRequest
Vulcan: $["appname"] -&gt; #/components/schemas/SetStartuserappRequest/properties/appname</t>
  </si>
  <si>
    <t xml:space="preserve">Schema: path appname</t>
  </si>
  <si>
    <t xml:space="preserve">Schema: path appname; $: type="object"; $.appname: type="string"</t>
  </si>
  <si>
    <t xml:space="preserve">Both schemas require path appname. Vulcan also declares optional body appname; Kamali confirms the request works without it. Starfish has no request body.</t>
  </si>
  <si>
    <t xml:space="preserve">Use path appname for local REST; omit the redundant appname-only body. MQTT payload routing remains separate.</t>
  </si>
  <si>
    <t xml:space="preserve">Remove redundant Vulcan REST body appname and its examples. Remove the body schema if no other REST fields are accepted.</t>
  </si>
  <si>
    <t xml:space="preserve">Field review, source 4, Excel row 10</t>
  </si>
  <si>
    <t xml:space="preserve">Starfish: path appname -&gt; #/paths/~1cloud~1apps~1{appname}~1stop/parameters/0
Vulcan: path appname -&gt; #/paths/~1cloud~1apps~1{appname}~1stop/parameters/0
Vulcan: $ -&gt; #/components/schemas/SetStopuserappRequest
Vulcan: $["appname"] -&gt; #/components/schemas/SetStopuserappRequest/properties/appname</t>
  </si>
  <si>
    <t xml:space="preserve">Field review, source 5, Excel row 11</t>
  </si>
  <si>
    <t xml:space="preserve">Starfish: path appname -&gt; #/paths/~1cloud~1apps~1{appname}~1uninstall/parameters/0
Vulcan: path appname -&gt; #/paths/~1cloud~1apps~1{appname}~1uninstall/parameters/0
Vulcan: $ -&gt; #/components/schemas/SetUninstalluserappRequest
Vulcan: $["appname"] -&gt; #/components/schemas/SetUninstalluserappRequest/properties/appname</t>
  </si>
  <si>
    <t xml:space="preserve">Field review, source 6, Excel row 12</t>
  </si>
  <si>
    <t xml:space="preserve">Starfish:
Why: Incorrect in documentation
Needed: yes
Fix: Response must be an array of certificate obects
Kamali:
Why: Both the readers are returning array of objects.may need schema updation
Needed: may need schema updation for starfish</t>
  </si>
  <si>
    <t xml:space="preserve">Starfish: $ -&gt; #/paths/~1cloud~1certificates/get/responses/200/content/application~1json/schema
Starfish: $["name"] -&gt; #/paths/~1cloud~1certificates/get/responses/200/content/application~1json/schema/properties/name
Starfish: $["type"] -&gt; #/paths/~1cloud~1certificates/get/responses/200/content/application~1json/schema/properties/type
Vulcan: $ -&gt; #/components/schemas/GetCertificatesResponse
Vulcan: $[*] -&gt; #/components/schemas/GetCertificatesResponse/items
Vulcan: $[*]["name"] -&gt; #/components/schemas/GetCertificatesResponse/items/properties/name
Vulcan: $[*]["type"] -&gt; #/components/schemas/GetCertificatesResponse/items/properties/type</t>
  </si>
  <si>
    <t xml:space="preserve">Schema: $: type="object"; required=["name","type","installTime","issuerName","publickey","serial","subjectName","validityStart","validityEnd"]; $.name: type="string"; $.type: type="string"; enum=["server","client","app"]</t>
  </si>
  <si>
    <t xml:space="preserve">Schema: $: type="array"; $[]: type="object"; required=["installTime","issuerName","name","publickey","serial","subjectName","type","validityEnd","validityStart"]; $[].name: type="string"; $[].type: type="string"; enum=["server","client","app"]</t>
  </si>
  <si>
    <t xml:space="preserve">Starfish describes one certificate object; Vulcan describes an array of those objects. Both reviewers confirm array responses.</t>
  </si>
  <si>
    <t xml:space="preserve">GET /cloud/certificates returns an array, including [] when no certificates are installed if confirmed.</t>
  </si>
  <si>
    <t xml:space="preserve">Wrap the Starfish certificate object schema in type: array/items and update its example. Preserve certificate field names.</t>
  </si>
  <si>
    <t xml:space="preserve">Does FX9600 return [] for an empty list and retain the same required fields on every certificate item?</t>
  </si>
  <si>
    <t xml:space="preserve">Field review, source 7, Excel row 13</t>
  </si>
  <si>
    <t xml:space="preserve">Repository schema and original reviewer statements; no live reader test supplied.
Source limitation: Both reviews identify an array response; do not retain the original single-object client workaround.</t>
  </si>
  <si>
    <t xml:space="preserve">Starfish:
Why: 9600 supports both "certname" as the path parameter and as a body parameter
Needed: yes
Fix: No changes required
Kamali:
Why: the command accepts json body in both readers..may need schema update
Needed: may need schema updation .</t>
  </si>
  <si>
    <t xml:space="preserve">Starfish: path certname -&gt; #/paths/~1cloud~1certificates~1{certname}/parameters/0
Starfish: $ -&gt; #/paths/~1cloud~1certificates~1{certname}/delete/requestBody/content/application~1json/schema
Starfish: $["type"] -&gt; #/paths/~1cloud~1certificates~1{certname}/delete/requestBody/content/application~1json/schema/properties/type
Vulcan: path certname -&gt; #/paths/~1cloud~1certificates~1{certname}/parameters/0
Vulcan: $ -&gt; #/components/schemas/DelCertificateRequest
Vulcan: $["type"] -&gt; #/components/schemas/DelCertificateRequest/properties/type</t>
  </si>
  <si>
    <t xml:space="preserve">Schema: path certname; $: type="object"; required=["type"]; $.type: type="string"; enum=["client","app"]</t>
  </si>
  <si>
    <t xml:space="preserve">The old comment reports a Vulcan query parameter. Both current schemas now require JSON body type (client or app) and path certname. Vulcan narrative explicitly places certname in the path and type in the body; it does not establish rejection of alternate forms.</t>
  </si>
  <si>
    <t xml:space="preserve">Retain the current Vulcan JSON type contract; no further location edit is needed for this finding.</t>
  </si>
  <si>
    <t xml:space="preserve">Close the obsolete body-versus-query discrepancy. Starfish body-certname compatibility remains separate in F-008A.</t>
  </si>
  <si>
    <t xml:space="preserve">None for the current type-location finding.</t>
  </si>
  <si>
    <t xml:space="preserve">Field review, source 8, Excel row 14</t>
  </si>
  <si>
    <t xml:space="preserve">Both reviewers confirm JSON-body support; both current schemas place type in the body with matching enum.
Source limitation: Starfish comment discusses certname, not type. Retain that distinction; do not infer optional or required fields.</t>
  </si>
  <si>
    <t xml:space="preserve">Starfish reviewer says certname works in path and body, but its schema declares only path certname. This does not establish type optionality or query support.</t>
  </si>
  <si>
    <t xml:space="preserve">Describe the actually supported Starfish name-routing alternatives without changing the confirmed body type requirement.</t>
  </si>
  <si>
    <t xml:space="preserve">Obtain requests covering path name, body name and conflicting names. Decide whether to document a supported alias or retain path-only usage.</t>
  </si>
  <si>
    <t xml:space="preserve">On FX9600, at which exact URL is body certname accepted? Is path certname still required, and which name wins when they conflict? Keep this separate from body type.</t>
  </si>
  <si>
    <t xml:space="preserve">Repository schema and original reviewer statements; no live reader test supplied.
Source limitation: Starfish comment discusses certname, not type. Retain that distinction; do not infer optional or required fields.</t>
  </si>
  <si>
    <t xml:space="preserve">Starfish:
Why: in FX9600 its wrongly documented for localrest it does not support setting eth, mlan network interface FX9600 supports only following field in the payload hostname, ipAddress, gatewayAddress, subnetMask, dnsAddress, dhcp, macAddress
Needed: yes
Fix: set network in FX9600 is yet to implement for setting ETH, MLAN like Vulcan
Kamali:
Why: vulcan supports ethernet/wifi/bluetooth and wan.
Needed: yes it is needed since hardware is different between vulcan and starfish response and payload will be different.</t>
  </si>
  <si>
    <t xml:space="preserve">Starfish: $ -&gt; #/components/schemas/networkconfig.v1
Starfish: $["dhcp"] -&gt; #/components/schemas/networkconfig.v1/properties/dhcp
Starfish: $["macAdress"] -&gt; #/components/schemas/networkconfig.v1/properties/macAdress
Starfish: $["hostName"] -&gt; #/components/schemas/networkconfig.v1/properties/hostName
Starfish: $["networkInterface"] -&gt; #/components/schemas/networkconfig.v1/properties/networkInterface
Starfish: $["networkInterface"]["eth0"] -&gt; #/components/schemas/networkconfig.v1/properties/networkInterface/properties/eth0
Starfish: $["networkInterface"]["mlan0"] -&gt; #/components/schemas/networkconfig.v1/properties/networkInterface/properties/mlan0
Vulcan: $ -&gt; #/components/schemas/UpdateNetworkRequest</t>
  </si>
  <si>
    <t xml:space="preserve">Schema: $: type="object"; required=["dhcp","macAdress","hostName","networkInterface"]; $.dhcp: type="boolean"; $.macAdress: type="string"; $.hostName: type="string"; $.networkInterface: type="object"; $.networkInterface.eth0: type="object"; $.networkInterface.mlan0: type="object"</t>
  </si>
  <si>
    <t xml:space="preserve">Schema: $: type="object"</t>
  </si>
  <si>
    <t xml:space="preserve">Starfish requires networkInterface and documents nested eth0/mlan0 setters. Its reviewer says local REST currently accepts only flat fields and nested setters are not implemented. Vulcan supports platform-specific interface payloads.</t>
  </si>
  <si>
    <t xml:space="preserve">Describe the existing FX9600 flat request, without requiring networkInterface. Keep Vulcan interface configuration model-specific.</t>
  </si>
  <si>
    <t xml:space="preserve">Remove unreleased nested setters from the current Starfish schema/required list, after resolving exact wire spellings in F-009A. Keep future nesting separate in F-009B.</t>
  </si>
  <si>
    <t xml:space="preserve">Does the approved current FX9600 request contain only flat host/IP/DHCP fields, with no required networkInterface? Supply a successful current-release request and field requiredness.</t>
  </si>
  <si>
    <t xml:space="preserve">Field review, source 9, Excel row 15</t>
  </si>
  <si>
    <t xml:space="preserve">Repository schema and original reviewer statements; no live reader test supplied.
Source limitation: Verify exact key spelling (hostname/hostName and macAddress) against firmware.</t>
  </si>
  <si>
    <t xml:space="preserve">Starfish: $["macAdress"] -&gt; #/components/schemas/networkconfig.v1/properties/macAdress
Starfish: $["hostName"] -&gt; #/components/schemas/networkconfig.v1/properties/hostName
Vulcan: No target field declared -&gt; #/paths/~1cloud~1network/put</t>
  </si>
  <si>
    <t xml:space="preserve">Schema: $.macAdress: type="string"; $.hostName: type="string"</t>
  </si>
  <si>
    <t xml:space="preserve">Schema: target field not declared</t>
  </si>
  <si>
    <t xml:space="preserve">Starfish schema uses macAdress and hostName; the reviewer writes macAddress and hostname. Changing case or correcting a spelling can break wire compatibility.</t>
  </si>
  <si>
    <t xml:space="preserve">Use the exact accepted wire keys for each platform and firmware.</t>
  </si>
  <si>
    <t xml:space="preserve">Verify all three spellings against a request capture before editing the flat schema.</t>
  </si>
  <si>
    <t xml:space="preserve">Does FX9600 accept macAdress or macAddress, and hostName or hostname? Are legacy aliases accepted? Are MAC-address changes writable or is that field informational?</t>
  </si>
  <si>
    <t xml:space="preserve">Starfish: $["networkInterface"] -&gt; #/components/schemas/networkconfig.v1/properties/networkInterface
Starfish: $["networkInterface"]["eth0"] -&gt; #/components/schemas/networkconfig.v1/properties/networkInterface/properties/eth0
Starfish: $["networkInterface"]["eth0"]["IPV4"] -&gt; #/components/schemas/networkconfig.v1/properties/networkInterface/properties/eth0/properties/IPV4
Starfish: $["networkInterface"]["eth0"]["IPV6"] -&gt; #/components/schemas/networkconfig.v1/properties/networkInterface/properties/eth0/properties/IPV6
Starfish: $["networkInterface"]["eth0"]["isEnabled"] -&gt; #/components/schemas/networkconfig.v1/properties/networkInterface/properties/eth0/properties/isEnabled
Starfish: $["networkInterface"]["mlan0"] -&gt; #/components/schemas/networkconfig.v1/properties/networkInterface/properties/mlan0
Starfish: $["networkInterface"]["mlan0"]["IPV4"] -&gt; #/components/schemas/networkconfig.v1/properties/networkInterface/properties/mlan0/properties/IPV4
Starfish: $["networkInterface"]["mlan0"]["IPV6"] -&gt; #/components/schemas/networkconfig.v1/properties/networkInterface/properties/mlan0/properties/IPV6
Starfish: $["networkInterface"]["mlan0"]["isEnabled"] -&gt; #/components/schemas/networkconfig.v1/properties/networkInterface/properties/mlan0/properties/isEnabled
Vulcan: No target field declared -&gt; #/paths/~1cloud~1network/put</t>
  </si>
  <si>
    <t xml:space="preserve">Schema: $.networkInterface: type="object"; $.networkInterface.eth0: type="object"; $.networkInterface.eth0.IPV4: type="object"; required=["dhcp"]; $.networkInterface.eth0.IPV6: type="object"; $.networkInterface.eth0.isEnabled: type="boolean"; $.networkInterface.mlan0: type="object"; $.networkInterface.mlan0.IPV4: type="object"; required=["dhcp"]; $.networkInterface.mlan0.IPV6: type="object"; $.networkInterface.mlan0.isEnabled: type="boolean"</t>
  </si>
  <si>
    <t xml:space="preserve">The reviewer says ETH/MLAN setters like Vulcan are yet to be implemented; no approved target release or field-level requirement is supplied. Hardware differences are explicitly intentional.</t>
  </si>
  <si>
    <t xml:space="preserve">Treat nested interface setting as future only if approved; do not require BLE/WAN/hotspot parity.</t>
  </si>
  <si>
    <t xml:space="preserve">Ask for the requirement/ticket and scope of eth0/mlan0 support. Define IPv4/IPv6 and enable/disable behavior before assigning firmware work.</t>
  </si>
  <si>
    <t xml:space="preserve">Is nested networkInterface.eth0/mlan0 configuration an approved FX9600 firmware deliverable? Which fields, validation rules and release are committed?</t>
  </si>
  <si>
    <t xml:space="preserve">Starfish:
Why: FX9600 doest not accept payload for stop
Needed: yes
Fix: No changes required
Kamali:
Why: support for ble added in vulcan.so scanType field added
Needed: yes this is needed</t>
  </si>
  <si>
    <t xml:space="preserve">Starfish: No target field declared -&gt; #/paths/~1cloud~1stop/put
Vulcan: $ -&gt; #/components/schemas/StopInventoryRequest
Vulcan: $["scanType"] -&gt; #/components/schemas/StopInventoryRequest/properties/scanType
Vulcan: $["scanType"][*] -&gt; #/components/schemas/StopInventoryRequest/properties/scanType/items</t>
  </si>
  <si>
    <t xml:space="preserve">Schema: $: type="object"; $.scanType: type="array"; minItems=1; $.scanType[]: type="string"; enum=["ble","rfid"]</t>
  </si>
  <si>
    <t xml:space="preserve">Starfish has no stop body. Vulcan optionally accepts scanType array with ble/rfid values and minItems 1. Both reviewer comments explain BLE as the reason.</t>
  </si>
  <si>
    <t xml:space="preserve">Keep bodyless FX9600 stop and the documented Vulcan scan selector.</t>
  </si>
  <si>
    <t xml:space="preserve">Retain the platform-specific request contracts. Do not add BLE or scanType to FX9600 to force parity.</t>
  </si>
  <si>
    <t xml:space="preserve">None for this documented platform difference.</t>
  </si>
  <si>
    <t xml:space="preserve">Field review, source 10, Excel row 16</t>
  </si>
  <si>
    <t xml:space="preserve">Both reviewer comments directly confirm the difference; the schemas match those comments.</t>
  </si>
  <si>
    <t xml:space="preserve">Starfish:
Why: FX9600 has backoff policy to support resonate
Needed: yes
Fix: No changes required
Kamali:
Why: These have been added in starfish for resonate. We will be supporting this in Q3.
Needed: will be supported from Q4</t>
  </si>
  <si>
    <t xml:space="preserve">Starfish: $["verifyPeer"] -&gt; #/paths/~1cloud~1apps~1install/put/requestBody/content/application~1json/schema/properties/verifyPeer
Starfish: $["verifyHost"] -&gt; #/paths/~1cloud~1apps~1install/put/requestBody/content/application~1json/schema/properties/verifyHost
Starfish: $["headers"] -&gt; #/paths/~1cloud~1apps~1install/put/requestBody/content/application~1json/schema/properties/headers
Starfish: $["retry"] -&gt; #/paths/~1cloud~1apps~1install/put/requestBody/content/application~1json/schema/properties/retry
Starfish: $["retry"]["type"] -&gt; #/paths/~1cloud~1apps~1install/put/requestBody/content/application~1json/schema/properties/retry/properties/type
Starfish: $["retry"]["policy"] -&gt; #/paths/~1cloud~1apps~1install/put/requestBody/content/application~1json/schema/properties/retry/properties/policy
Starfish: $["retry"]["policy"]["retries"] -&gt; #/paths/~1cloud~1apps~1install/put/requestBody/content/application~1json/schema/properties/retry/properties/policy/properties/retries
Starfish: $["retry"]["policy"]["wait"] -&gt; #/paths/~1cloud~1apps~1install/put/requestBody/content/application~1json/schema/properties/retry/properties/policy/properties/wait
Starfish: $["retry"]["policy"]["wait"]["min"] -&gt; #/paths/~1cloud~1apps~1install/put/requestBody/content/application~1json/schema/properties/retry/properties/policy/properties/wait/properties/min
Starfish: $["retry"]["policy"]["wait"]["max"] -&gt; #/paths/~1cloud~1apps~1install/put/requestBody/content/application~1json/schema/properties/retry/properties/policy/properties/wait/properties/max
Starfish: $["timeouts"] -&gt; #/paths/~1cloud~1apps~1install/put/requestBody/content/application~1json/schema/properties/timeouts
Starfish: $["timeouts"]["connection"] -&gt; #/paths/~1cloud~1apps~1install/put/requestBody/content/application~1json/schema/properties/timeouts/properties/connection
Starfish: $["timeouts"]["read"] -&gt; #/paths/~1cloud~1apps~1install/put/requestBody/content/application~1json/schema/properties/timeouts/properties/read
Vulcan: $["verifyPeer"] -&gt; #/components/schemas/SetInstalluserappRequest/properties/verifyPeer
Vulcan: $["verifyHost"] -&gt; #/components/schemas/SetInstalluserappRequest/properties/verifyHost
Vulcan: $["publicKeyFileLocation"] -&gt; #/components/schemas/SetInstalluserappRequest/properties/publicKeyFileLocation
Vulcan: $["privateKeyFileLocation"] -&gt; #/components/schemas/SetInstalluserappRequest/properties/privateKeyFileLocation
Vulcan: $["installedCertificateType"] -&gt; #/components/schemas/SetInstalluserappRequest/properties/installedCertificateType
Vulcan: $["installedCertificateName"] -&gt; #/components/schemas/SetInstalluserappRequest/properties/installedCertificateName
Vulcan: $["headers"] -&gt; #/components/schemas/SetInstalluserappRequest/properties/headers</t>
  </si>
  <si>
    <t xml:space="preserve">Schema: $.verifyPeer: type="boolean"; default=true; $.verifyHost: type="boolean"; default=true; $.headers: type="object"; $.retry: type="object"; $.retry.type: type="string"; enum=["randomWait"]; $.retry.policy: type="object"; $.retry.policy.retries: type="integer"; minimum=1; maximum=50; default=1; $.retry.policy.wait: type="object"; $.retry.policy.wait.min: type="integer"; minimum=0; maximum=3600; default=30; $.retry.policy.wait.max: type="integer"; minimum=1; maximum=3600; default=300; $.timeouts: type="object"; $.timeouts.connection: type="integer"; minimum=1; maximum=3600; default=60; $.timeouts.read: type="integer"; minimum=1; maximum=3600; default=600</t>
  </si>
  <si>
    <t xml:space="preserve">Schema: $.verifyPeer: type="boolean"; $.verifyHost: type="boolean"; $.publicKeyFileLocation: type="string"; $.privateKeyFileLocation: type="string"; $.installedCertificateType: type="string"; $.installedCertificateName: type="string"; $.headers: type="object"; additionalProperties={"type":"string"}</t>
  </si>
  <si>
    <t xml:space="preserve">Starfish has retry.type=randomWait, policy.retries 1–50, wait bounds and timeouts. Vulcan omits retry/timeouts. Kamali names both Q3 and Q4 without a year or firmware version. The current Vulcan operation description explicitly says download retry/timeout settings are not supported.</t>
  </si>
  <si>
    <t xml:space="preserve">Publish the fields only for firmware releases that support them; determine whether current FXR behavior already supports them.</t>
  </si>
  <si>
    <t xml:space="preserve">Resolve Q3/Q4 and capture FXR requests. If implemented, update its schema. If planned, identify firmware work and release. Also verify certificate/header differences rather than copying them wholesale.</t>
  </si>
  <si>
    <t xml:space="preserve">Which FXR firmware supports retry and timeouts for app installation? Is the committed release Q3 or Q4, in which year? Are the Starfish bounds/defaults identical on FXR?</t>
  </si>
  <si>
    <t xml:space="preserve">Field review, source 11, Excel row 17</t>
  </si>
  <si>
    <t xml:space="preserve">Repository schema and original reviewer statements; no live reader test supplied.
Source limitation: Kamali gives two different release quarters.</t>
  </si>
  <si>
    <t xml:space="preserve">Starfish:
Why: yes
Needed: No changes required
Kamali:
Why: code supports both object and string.needs schema update
Needed: needs schema update to specify either object or string</t>
  </si>
  <si>
    <t xml:space="preserve">Starfish: path appname -&gt; #/paths/~1cloud~1apps~1{appname}~1pass-through/parameters/0
Starfish: $ -&gt; #/paths/~1cloud~1apps~1{appname}~1pass-through/put/requestBody/content/application~1json/schema
Starfish: $["userapp"] -&gt; #/paths/~1cloud~1apps~1{appname}~1pass-through/put/requestBody/content/application~1json/schema/properties/userapp
Starfish: $["command"] -&gt; #/paths/~1cloud~1apps~1{appname}~1pass-through/put/requestBody/content/application~1json/schema/properties/command
Vulcan: path appname -&gt; #/paths/~1cloud~1apps~1{appname}~1pass-through/parameters/0
Vulcan: $ -&gt; #/components/schemas/SetReqtouserappRequest
Vulcan: $["command"] -&gt; #/components/schemas/SetReqtouserappRequest/properties/command
Vulcan: $["command"]["message"] -&gt; #/components/schemas/SetReqtouserappRequest/properties/command/properties/message
Vulcan: $["userapp"] -&gt; #/components/schemas/SetReqtouserappRequest/properties/userapp</t>
  </si>
  <si>
    <t xml:space="preserve">Schema: path appname; $: type="object"; required=["userapp","command"]; $.userapp: type="string"; $.command: type="string"</t>
  </si>
  <si>
    <t xml:space="preserve">Schema: path appname; $: type="object"; $.command: type="object"; $.command.message: type="string"; $.userapp: type="string"</t>
  </si>
  <si>
    <t xml:space="preserve">Starfish command is string. Vulcan schema permits only object {message}, but Kamali states its code accepts both string and object.</t>
  </si>
  <si>
    <t xml:space="preserve">Vulcan command should allow string or object; retain known object fields until a broader object contract is confirmed.</t>
  </si>
  <si>
    <t xml:space="preserve">Use a string/object union for Vulcan command and show one example of each supported form.</t>
  </si>
  <si>
    <t xml:space="preserve">Is the accepted object specifically {message:string}, or any JSON object? Is REST userapp required when appname is already in the path?</t>
  </si>
  <si>
    <t xml:space="preserve">Field review, source 12, Excel row 18</t>
  </si>
  <si>
    <t xml:space="preserve">Repository schema and original reviewer statements; no live reader test supplied.
Source limitation: Kamali’s FXR review does not explicitly establish both forms on Starfish. Object properties and REST userapp requirement still need confirmation.</t>
  </si>
  <si>
    <t xml:space="preserve">Starfish only documents command:string and marks userapp/command required. Kamali’s dual-type statement is in the FXR review and does not establish Starfish object support.</t>
  </si>
  <si>
    <t xml:space="preserve">Retain the verified Starfish string form until object support or an explicit parity requirement is confirmed.</t>
  </si>
  <si>
    <t xml:space="preserve">Confirm object acceptance on FX9600 before copying the Vulcan union. Record userapp requiredness and its relation to path appname.</t>
  </si>
  <si>
    <t xml:space="preserve">Does FX9600 accept a JSON object in command at this REST URL? If not, is adding it required, or is a string-only platform contract intentional?</t>
  </si>
  <si>
    <t xml:space="preserve">Starfish:
Why: yes
Needed: FX9600 requires firmware changes to match FX90
Kamali:
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missing fields.</t>
  </si>
  <si>
    <t xml:space="preserve">Starfish: $["endpointConfig"] -&gt; #/components/schemas/importCloudConfigReq/properties/endpointConfig
Starfish: $["endpointConfig"]["data"]["event"]["connections"][*]["additionalOptions"] -&gt; #/components/schemas/event.v1/properties/connections/items/properties/additionalOptions
Vulcan: $["endpointConfig"] -&gt; #/components/schemas/SetImportcloudconfigRequest/properties/endpointConfig
Vulcan: $["endpointConfig"]["data"]["event"]["connections"][*]["additionalOptions"] -&gt; #/components/schemas/SetImportcloudconfigRequest/properties/endpointConfig/properties/data/properties/event/properties/connections/items/properties/additionalOptions
Vulcan: $["endpointConfig"]["data"]["event"]["connections"][*]["additionalOptions"]["dataAck"] -&gt; #/components/schemas/SetImportcloudconfigRequest/properties/endpointConfig/properties/data/properties/event/properties/connections/items/properties/additionalOptions/properties/dataAck
Vulcan: $["endpointConfig"]["data"]["event"]["connections"][*]["additionalOptions"]["dataAck"]["enable"] -&gt; #/components/schemas/SetImportcloudconfigRequest/properties/endpointConfig/properties/data/properties/event/properties/connections/items/properties/additionalOptions/properties/dataAck/properties/enable
Vulcan: $["endpointConfig"]["data"]["event"]["connections"][*]["additionalOptions"]["dataAck"]["responseTopic"] -&gt; #/components/schemas/SetImportcloudconfigRequest/properties/endpointConfig/properties/data/properties/event/properties/connections/items/properties/additionalOptions/properties/dataAck/properties/responseTopic
Vulcan: $["endpointConfig"]["data"]["event"]["connections"][*]["additionalOptions"]["dataAck"]["correlationFieldName"] -&gt; #/components/schemas/SetImportcloudconfigRequest/properties/endpointConfig/properties/data/properties/event/properties/connections/items/properties/additionalOptions/properties/dataAck/properties/correlationFieldName</t>
  </si>
  <si>
    <t xml:space="preserve">Schema: $.endpointConfig: type="object"; $.endpointConfig.data.event.connections[].additionalOptions: type="object"</t>
  </si>
  <si>
    <t xml:space="preserve">Schema: $.endpointConfig: type="object"; $.endpointConfig.data.event.connections[].additionalOptions: type="object"; $.endpointConfig.data.event.connections[].additionalOptions.dataAck: type="object"; $.endpointConfig.data.event.connections[].additionalOptions.dataAck.enable: type="boolean"; $.endpointConfig.data.event.connections[].additionalOptions.dataAck.responseTopic: type="string"; $.endpointConfig.data.event.connections[].additionalOptions.dataAck.correlationFieldName: type="string"</t>
  </si>
  <si>
    <t xml:space="preserve">Starfish explicitly states "FX9600 requires firmware changes to match FX90". That confirms a general firmware need, but does not identify any approved field-level change. dataAck is a visible candidate only.</t>
  </si>
  <si>
    <t xml:space="preserve">Firmware scope must be defined by the Starfish owner. No specific dataAck or enableLocalRest implementation change is approved by the available comment.</t>
  </si>
  <si>
    <t xml:space="preserve">Obtain a field-by-field gap list, current/expected runtime behavior, implementation ticket and target version. Highlight endpointConfig as the confirmed review area; keep candidate leaf nodes unconfirmed.</t>
  </si>
  <si>
    <t xml:space="preserve">Which exact endpointConfig nodes require FX9600 code changes? Is data.event.connections[].additionalOptions.dataAck one of them, and what acknowledgement behavior, protocol support and release are required?</t>
  </si>
  <si>
    <t xml:space="preserve">Field review, source 13, Excel row 19</t>
  </si>
  <si>
    <t xml:space="preserve">Explicit Starfish field-review row 13 firmware statement. Endpoint-level need is confirmed in source; exact affected leaf nodes, expected behavior and release remain unconfirmed.
Source limitation: Comments concern opposite directions of compatibility; do not assume complete parity or a direct contradiction without a field-level list.</t>
  </si>
  <si>
    <t xml:space="preserve">Starfish: No target field declared -&gt; #/paths/~1cloud~1cloudConfig/put
Vulcan: $["endpointConfig"]["control"]["commandResponse"]["enableLocalRest"] -&gt; #/components/schemas/SetImportcloudconfigRequest/properties/endpointConfig/properties/control/properties/commandResponse/properties/enableLocalRest
Vulcan: $["endpointConfig"]["management"]["commandResponse"]["enableLocalRest"] -&gt; #/components/schemas/SetImportcloudconfigRequest/properties/endpointConfig/properties/management/properties/commandResponse/properties/enableLocalRest</t>
  </si>
  <si>
    <t xml:space="preserve">Schema: $.endpointConfig.control.commandResponse.enableLocalRest: type="boolean"; $.endpointConfig.management.commandResponse.enableLocalRest: type="boolean"</t>
  </si>
  <si>
    <t xml:space="preserve">Vulcan cloudConfig exposes enableLocalRest under both control.commandResponse and management.commandResponse. Kamali explicitly says it is not needed and must be removed. The operation narrative says local REST is always enabled and not configurable, contradicting the exposed property.</t>
  </si>
  <si>
    <t xml:space="preserve">Remove these schema claims while retaining the existing local REST functionality and dataAck.</t>
  </si>
  <si>
    <t xml:space="preserve">Delete the two enableLocalRest properties from SetImportcloudconfigRequest and related examples. Do not disable REST in firmware.</t>
  </si>
  <si>
    <t xml:space="preserve">Does removal apply to both commandResponse locations shown here, and how does firmware handle a supplied legacy enableLocalRest key?</t>
  </si>
  <si>
    <t xml:space="preserve">Repository schema and original reviewer statements; no live reader test supplied.
Source limitation: Comments concern opposite directions of compatibility; do not assume complete parity or a direct contradiction without a field-level list.</t>
  </si>
  <si>
    <t xml:space="preserve">Starfish: $["endpointConfig"]["data"]["event"]["connections"][*]["options"] -&gt; #/components/schemas/event.v1/properties/connections/items/properties/options
Starfish: $["endpointConfig"]["data"]["event"]["connections"][*]["options"] -&gt; #/components/schemas/mqtt.v1
Starfish: $["endpointConfig"]["data"]["event"]["connections"][*]["options"]["security"] -&gt; #/components/schemas/mqttSecurity.v1
Starfish: $["endpointConfig"]["data"]["event"]["connections"][*]["options"]["basicAuthentication"] -&gt; #/components/schemas/basicAuthentication.v1
Starfish: $["endpointConfig"]["data"]["event"]["connections"][*]["options"]["additional"] -&gt; #/components/schemas/mqttAdditionalOptions.v1
Starfish: $["endpointConfig"]["data"]["event"]["connections"][*]["options"]["additional"]["retain"] -&gt; #/components/schemas/mqttAdditionalOptions.v1/properties/retain
Starfish: $["endpointConfig"]["data"]["event"]["connections"][*]["options"] -&gt; #/components/schemas/aws.v1
Starfish: $["endpointConfig"]["data"]["event"]["connections"][*]["options"]["additional"] -&gt; #/components/schemas/aws.v1/properties/additional
Starfish: $["endpointConfig"]["data"]["event"]["connections"][*]["options"]["additional"]["retain"] -&gt; #/components/schemas/aws.v1/properties/additional/properties/retain
Starfish: $["endpointConfig"]["data"]["event"]["connections"][*]["options"]["additional"]["alpnProtocolNames"] -&gt; #/components/schemas/aws.v1/properties/additional/properties/alpnProtocolNames
Starfish: $["endpointConfig"]["data"]["event"]["connections"][*]["options"]["security"] -&gt; #/components/schemas/aws.v1/properties/security
Vulcan: $["endpointConfig"]["data"]["event"]["connections"][*]["options"] -&gt; #/components/schemas/SetImportcloudconfigRequest/properties/endpointConfig/properties/data/properties/event/properties/connections/items/properties/options
Vulcan: $["endpointConfig"]["data"]["event"]["connections"][*]["options"]["additional"] -&gt; #/components/schemas/SetImportcloudconfigRequest/properties/endpointConfig/properties/data/properties/event/properties/connections/items/properties/options/properties/additional
Vulcan: $["endpointConfig"]["data"]["event"]["connections"][*]["options"]["security"] -&gt; #/components/schemas/SetImportcloudconfigRequest/properties/endpointConfig/properties/data/properties/event/properties/connections/items/properties/options/properties/security</t>
  </si>
  <si>
    <t xml:space="preserve">Schema: $.endpointConfig.data.event.connections[].options: type/constraints not specified here; $.endpointConfig.data.event.connections[].options/anyOf[0]: type="object"; required=["endpoint","enableSecurity","additional","publishTopic"]; $.endpointConfig.data.event.connections[].options/anyOf[0].security: type="object"; required=["keyFormat","keyAlgorithm","CACertificateFileLocation","publicKeyFileLocation","privateKeyFileLocation","verifyHostName","verifyPeer","installedCertificateName","installedCertificateType"]; $.endpointConfig.data.event.connections[].options/anyOf[0].basicAuthentication: type="object"; required=["username","password"]; full field types and constraints in the linked walkthrough.</t>
  </si>
  <si>
    <t xml:space="preserve">Schema: $.endpointConfig.data.event.connections[].options: type="object"; $.endpointConfig.data.event.connections[].options.additional: type="object"; $.endpointConfig.data.event.connections[].options.security: type="object"</t>
  </si>
  <si>
    <t xml:space="preserve">Starfish uses protocol-specific options branches including basicAuthentication, additional.retain and AWS additional.alpnProtocolNames. Vulcan has a flatter options schema that omits those named fields. Kamali says Starfish-supported fields are already supported on Vulcan.</t>
  </si>
  <si>
    <t xml:space="preserve">Correct Vulcan schemas to expose the implemented protocol-specific options; preserve dataAck as an additional Vulcan feature.</t>
  </si>
  <si>
    <t xml:space="preserve">Add supported authentication/additional/security variants to the appropriate Vulcan connection schemas after confirming exact object nesting and protocol applicability. Do not copy all Starfish required flags blindly.</t>
  </si>
  <si>
    <t xml:space="preserve">For MQTT, HTTP, TCP/IP, WebSocket, Azure and AWS connections, which Starfish option branches are accepted unchanged on FXR? Confirm basicAuthentication, additional.retain, additional.alpnProtocolNames and security requiredness.</t>
  </si>
  <si>
    <t xml:space="preserve">Starfish:
Why: yes
Needed: No changes required
Kamali:
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fields like xml,GPIO LED ,enableLocalRest</t>
  </si>
  <si>
    <t xml:space="preserve">Starfish: $["xml"] -&gt; #/components/schemas/readerConfigResponse/properties/xml
Vulcan: $["xml"] -&gt; #/components/schemas/GetConfigResponse/properties/xml</t>
  </si>
  <si>
    <t xml:space="preserve">Schema: $.xml: type="string"</t>
  </si>
  <si>
    <t xml:space="preserve">Both current GET /cloud/config schemas include top-level xml:string. The earlier missing-xml comment is stale.</t>
  </si>
  <si>
    <t xml:space="preserve">Retain the present xml field; no duplicate addition is needed.</t>
  </si>
  <si>
    <t xml:space="preserve">Close the xml-presence subfinding only. Other config branches remain open below.</t>
  </si>
  <si>
    <t xml:space="preserve">None for xml presence.</t>
  </si>
  <si>
    <t xml:space="preserve">Field review, source 14, Excel row 20</t>
  </si>
  <si>
    <t xml:space="preserve">Kamali says xml is supported; both current schema properties contain xml:string.
Source limitation: Starfish’s no-change comment is not evidence that the FXR schema is complete.</t>
  </si>
  <si>
    <t xml:space="preserve">Starfish: $["GPIO-LED"] -&gt; #/components/schemas/readerConfigResponse/properties/GPIO-LED
Starfish: $["GPIO-LED"]["GPIDebounce"] -&gt; #/components/schemas/readerConfigResponse/properties/GPIO-LED/properties/GPIDebounce
Starfish: $["GPIO-LED"]["GPIDebounce"]["1"] -&gt; #/components/schemas/readerConfigResponse/properties/GPIO-LED/properties/GPIDebounce/properties/1
Starfish: $["GPIO-LED"]["GPIDebounce"]["2"] -&gt; #/components/schemas/readerConfigResponse/properties/GPIO-LED/properties/GPIDebounce/properties/2
Starfish: $["GPIO-LED"]["GPIDebounce"]["3"] -&gt; #/components/schemas/readerConfigResponse/properties/GPIO-LED/properties/GPIDebounce/properties/3
Starfish: $["GPIO-LED"]["GPIDebounce"]["4"] -&gt; #/components/schemas/readerConfigResponse/properties/GPIO-LED/properties/GPIDebounce/properties/4
Vulcan: $["GPIO-LED"] -&gt; #/components/schemas/GetConfigResponse/properties/GPIO-LED
Vulcan: $["GPIO-LED"] -&gt; #/components/schemas/GPIOLEDConfig.v1</t>
  </si>
  <si>
    <t xml:space="preserve">Schema: $.GPIO-LED: type="object"; $.GPIO-LED.GPIDebounce: type="object"; $.GPIO-LED.GPIDebounce.1: type="number"; minimum=0; default=50; $.GPIO-LED.GPIDebounce.2: type="number"; minimum=0; default=50; $.GPIO-LED.GPIDebounce.3: type="number"; minimum=0; default=50; $.GPIO-LED.GPIDebounce.4: type="number"; minimum=0; default=50</t>
  </si>
  <si>
    <t xml:space="preserve">Schema: $.GPIO-LED: type/constraints not specified here; $.GPIO-LED/anyOf[1]: type="object"</t>
  </si>
  <si>
    <t xml:space="preserve">Starfish GPIO-LED includes GPIDebounce for ports 1–4 with number, minimum 0 and default 50. Vulcan’s shared GPIOLEDConfig.v1 has action mappings and defaults but no GPIDebounce.</t>
  </si>
  <si>
    <t xml:space="preserve">Represent existing supported debounce configuration on FXR per Kamali’s all-fields-supported statement; confirm exact numeric range and model applicability.</t>
  </si>
  <si>
    <t xml:space="preserve">Add the confirmed GPIDebounce branch to GPIOLEDConfig.v1 and verify both GET and PUT references. Do not add already-present GPIO action mappings again.</t>
  </si>
  <si>
    <t xml:space="preserve">Does FXR60 and FXR90 use GPIO-LED.GPIDebounce keys 1–4 in milliseconds with minimum 0/default 50? Are values integers, and what is the maximum?</t>
  </si>
  <si>
    <t xml:space="preserve">Repository schema and original reviewer statements; no live reader test supplied.
Source limitation: Starfish’s no-change comment is not evidence that the FXR schema is complete.</t>
  </si>
  <si>
    <t xml:space="preserve">Starfish: No target field declared -&gt; #/paths/~1cloud~1config/get
Vulcan: $["READER-GATEWAY"]["endpointConfig"]["data"]["event"]["connections"][*]["additionalOptions"]["dataAck"] -&gt; #/components/schemas/GetConfigResponse/properties/READER-GATEWAY/properties/endpointConfig/properties/data/properties/event/properties/connections/items/properties/additionalOptions/properties/dataAck
Vulcan: $["READER-GATEWAY"]["endpointConfig"]["management"]["commandResponse"]["enableLocalRest"] -&gt; #/components/schemas/GetConfigResponse/properties/READER-GATEWAY/properties/endpointConfig/properties/management/properties/commandResponse/properties/enableLocalRest
Vulcan: $["READER-GATEWAY"]["endpointConfig"]["management"]["event"]["connections"][*]["additionalOptions"]["dataAck"] -&gt; #/components/schemas/GetConfigResponse/properties/READER-GATEWAY/properties/endpointConfig/properties/management/properties/event/properties/connections/items/properties/additionalOptions/properties/dataAck</t>
  </si>
  <si>
    <t xml:space="preserve">Schema: $.READER-GATEWAY.endpointConfig.data.event.connections[].additionalOptions.dataAck: type="object"; $.READER-GATEWAY.endpointConfig.management.commandResponse.enableLocalRest: type="boolean"; $.READER-GATEWAY.endpointConfig.management.event.connections[].additionalOptions.dataAck: type="object"</t>
  </si>
  <si>
    <t xml:space="preserve">GET config still defines READER-GATEWAY.endpointConfig.management.commandResponse.enableLocalRest. Kamali says to remove enableLocalRest and retain dataAck.</t>
  </si>
  <si>
    <t xml:space="preserve">Remove the unsupported enableLocalRest response claim; keep the supported dataAck branches.</t>
  </si>
  <si>
    <t xml:space="preserve">Remove that property from GetConfigResponse and align its example. Coordinate with F-013A for the setter schema.</t>
  </si>
  <si>
    <t xml:space="preserve">Is enableLocalRest absent from actual GET /cloud/config responses on all target FXR releases? Identify any legacy release that still returns it.</t>
  </si>
  <si>
    <t xml:space="preserve">Starfish: $["READER-GATEWAY"]["endpointConfig"]["data"]["event"]["connections"][*]["options"] -&gt; #/components/schemas/event.v1/properties/connections/items/properties/options
Starfish: $["READER-GATEWAY"]["endpointConfig"]["data"]["event"]["connections"][*]["options"] -&gt; #/components/schemas/mqtt.v1
Starfish: $["READER-GATEWAY"]["endpointConfig"]["data"]["event"]["connections"][*]["options"]["security"] -&gt; #/components/schemas/mqttSecurity.v1
Starfish: $["READER-GATEWAY"]["endpointConfig"]["data"]["event"]["connections"][*]["options"]["basicAuthentication"] -&gt; #/components/schemas/basicAuthentication.v1
Starfish: $["READER-GATEWAY"]["endpointConfig"]["data"]["event"]["connections"][*]["options"]["additional"] -&gt; #/components/schemas/mqttAdditionalOptions.v1
Starfish: $["READER-GATEWAY"]["endpointConfig"]["data"]["event"]["connections"][*]["options"]["additional"]["retain"] -&gt; #/components/schemas/mqttAdditionalOptions.v1/properties/retain
Starfish: $["READER-GATEWAY"]["endpointConfig"]["data"]["event"]["connections"][*]["options"] -&gt; #/components/schemas/aws.v1
Starfish: $["READER-GATEWAY"]["endpointConfig"]["data"]["event"]["connections"][*]["options"]["additional"] -&gt; #/components/schemas/aws.v1/properties/additional
Starfish: $["READER-GATEWAY"]["endpointConfig"]["data"]["event"]["connections"][*]["options"]["additional"]["retain"] -&gt; #/components/schemas/aws.v1/properties/additional/properties/retain
Starfish: $["READER-GATEWAY"]["endpointConfig"]["data"]["event"]["connections"][*]["options"]["additional"]["alpnProtocolNames"] -&gt; #/components/schemas/aws.v1/properties/additional/properties/alpnProtocolNames
Starfish: $["READER-GATEWAY"]["endpointConfig"]["data"]["event"]["connections"][*]["options"]["security"] -&gt; #/components/schemas/aws.v1/properties/security
Vulcan: $["READER-GATEWAY"]["endpointConfig"]["data"]["event"]["connections"][*]["options"] -&gt; #/components/schemas/GetConfigResponse/properties/READER-GATEWAY/properties/endpointConfig/properties/data/properties/event/properties/connections/items/properties/options
Vulcan: $["READER-GATEWAY"]["endpointConfig"]["data"]["event"]["connections"][*]["options"]["additional"] -&gt; #/components/schemas/GetConfigResponse/properties/READER-GATEWAY/properties/endpointConfig/properties/data/properties/event/properties/connections/items/properties/options/properties/additional
Vulcan: $["READER-GATEWAY"]["endpointConfig"]["data"]["event"]["connections"][*]["options"]["security"] -&gt; #/components/schemas/GetConfigResponse/properties/READER-GATEWAY/properties/endpointConfig/properties/data/properties/event/properties/connections/items/properties/options/properties/security</t>
  </si>
  <si>
    <t xml:space="preserve">Schema: $.READER-GATEWAY.endpointConfig.data.event.connections[].options: type/constraints not specified here; $.READER-GATEWAY.endpointConfig.data.event.connections[].options/anyOf[0]: type="object"; required=["endpoint","enableSecurity","additional","publishTopic"]; $.READER-GATEWAY.endpointConfig.data.event.connections[].options/anyOf[0].security: type="object"; required=["keyFormat","keyAlgorithm","CACertificateFileLocation","publicKeyFileLocation","privateKeyFileLocation","verifyHostName","verifyPeer","installedCertificateName","installedCertificateType"]; full field types and constraints in the linked walkthrough.</t>
  </si>
  <si>
    <t xml:space="preserve">Schema: $.READER-GATEWAY.endpointConfig.data.event.connections[].options: type="object"; $.READER-GATEWAY.endpointConfig.data.event.connections[].options.additional: type="object"; $.READER-GATEWAY.endpointConfig.data.event.connections[].options.security: type="object"</t>
  </si>
  <si>
    <t xml:space="preserve">GET config repeats Starfish’s protocol-specific connection options under READER-GATEWAY. Vulcan’s response lacks several named authentication/additional option fields, although Kamali reports support.</t>
  </si>
  <si>
    <t xml:space="preserve">Expose the actual returned protocol-specific settings consistently with cloudConfig.</t>
  </si>
  <si>
    <t xml:space="preserve">Align GetConfigResponse connection options with the confirmed setting schemas; verify redaction of password/certificate content independently.</t>
  </si>
  <si>
    <t xml:space="preserve">Which basicAuthentication, retain, ALPN and security values are returned, omitted or redacted by FXR GET /cloud/config? Do the data/control/management channels use the same shapes?</t>
  </si>
  <si>
    <t xml:space="preserve">Starfish:
Why: yes
Needed: No changes required
Kamali:
Why: All fields supported in starfish are supported in vulcan..may need schema update.
Needed: may need schema update</t>
  </si>
  <si>
    <t xml:space="preserve">Starfish: $["xml"] -&gt; #/components/schemas/readerConfig/properties/xml
Starfish: $["GPIO-LED"] -&gt; #/components/schemas/readerConfig/properties/GPIO-LED
Starfish: $["GPIO-LED"]["GPI_1_H"] -&gt; #/components/schemas/readerConfig/properties/GPIO-LED/properties/GPI_1_H
Starfish: $["GPIO-LED"]["GPI_1_L"] -&gt; #/components/schemas/readerConfig/properties/GPIO-LED/properties/GPI_1_L
Starfish: $["GPIO-LED"]["GPI_2_H"] -&gt; #/components/schemas/readerConfig/properties/GPIO-LED/properties/GPI_2_H
Starfish: $["GPIO-LED"]["GPI_2_L"] -&gt; #/components/schemas/readerConfig/properties/GPIO-LED/properties/GPI_2_L
Vulcan: $["xml"] -&gt; #/components/schemas/SetConfigMqttRequest/properties/xml
Vulcan: $["GPIO-LED"] -&gt; #/components/schemas/GPIOLEDConfig.v1
Vulcan: $["GPIO-LED"]["GPI_1_H"] -&gt; #/components/schemas/gpoledAction.v1
Vulcan: $["GPIO-LED"]["GPI_1_L"] -&gt; #/components/schemas/gpoledAction.v1
Vulcan: $["GPIO-LED"]["GPI_2_H"] -&gt; #/components/schemas/gpoledAction.v1
Vulcan: $["GPIO-LED"]["GPI_2_L"] -&gt; #/components/schemas/gpoledAction.v1</t>
  </si>
  <si>
    <t xml:space="preserve">Schema: $.xml: type="string"; $.GPIO-LED: type="object"; $.GPIO-LED.GPI_1_H: type="array"; $.GPIO-LED.GPI_1_L: type="array"; $.GPIO-LED.GPI_2_H: type="array"; $.GPIO-LED.GPI_2_L: type="array"</t>
  </si>
  <si>
    <t xml:space="preserve">Both current PUT schemas contain xml. Neither GPIO-LED action map defines GPI_3_H/L or GPI_4_H/L in this snapshot. Four physical GPI pins do not establish support for those event names.</t>
  </si>
  <si>
    <t xml:space="preserve">Retain xml. Establish the exact supported trigger keys per model before adding GPI 3/4 mappings.</t>
  </si>
  <si>
    <t xml:space="preserve">Ask for accepted configuration payloads for GPI 3/4 triggers. If supported, update schemas. If absent and required, define a firmware feature; otherwise document the restriction.</t>
  </si>
  <si>
    <t xml:space="preserve">Are GPIO-LED.GPI_3_H, GPI_3_L, GPI_4_H and GPI_4_L accepted on FX9600, FXR60 and FXR90? The source’s FXR-only claim is not reflected in either current action map.</t>
  </si>
  <si>
    <t xml:space="preserve">Field review, source 15, Excel row 21</t>
  </si>
  <si>
    <t xml:space="preserve">Repository schema and original reviewer statements; no live reader test supplied.
Source limitation: The reviews say FX9600 has four GPI ports; port count alone does not confirm each event name.</t>
  </si>
  <si>
    <t xml:space="preserve">Starfish: $["GPIO-LED"] -&gt; #/components/schemas/readerConfig/properties/GPIO-LED
Starfish: $["GPIO-LED"]["GPIDebounce"] -&gt; #/components/schemas/readerConfig/properties/GPIO-LED/properties/GPIDebounce
Starfish: $["GPIO-LED"]["GPIDebounce"]["1"] -&gt; #/components/schemas/readerConfig/properties/GPIO-LED/properties/GPIDebounce/properties/1
Starfish: $["GPIO-LED"]["GPIDebounce"]["2"] -&gt; #/components/schemas/readerConfig/properties/GPIO-LED/properties/GPIDebounce/properties/2
Starfish: $["GPIO-LED"]["GPIDebounce"]["3"] -&gt; #/components/schemas/readerConfig/properties/GPIO-LED/properties/GPIDebounce/properties/3
Starfish: $["GPIO-LED"]["GPIDebounce"]["4"] -&gt; #/components/schemas/readerConfig/properties/GPIO-LED/properties/GPIDebounce/properties/4
Vulcan: $["GPIO-LED"] -&gt; #/components/schemas/GPIOLEDConfig.v1</t>
  </si>
  <si>
    <t xml:space="preserve">Schema: $.GPIO-LED: type="object"</t>
  </si>
  <si>
    <t xml:space="preserve">Starfish: $["READER-GATEWAY"]["endpointConfig"]["data"]["event"]["connections"][*]["options"] -&gt; #/components/schemas/event.v1/properties/connections/items/properties/options
Starfish: $["READER-GATEWAY"]["endpointConfig"]["data"]["event"]["connections"][*]["options"] -&gt; #/components/schemas/mqtt.v1
Starfish: $["READER-GATEWAY"]["endpointConfig"]["data"]["event"]["connections"][*]["options"]["security"] -&gt; #/components/schemas/mqttSecurity.v1
Starfish: $["READER-GATEWAY"]["endpointConfig"]["data"]["event"]["connections"][*]["options"]["basicAuthentication"] -&gt; #/components/schemas/basicAuthentication.v1
Starfish: $["READER-GATEWAY"]["endpointConfig"]["data"]["event"]["connections"][*]["options"]["additional"] -&gt; #/components/schemas/mqttAdditionalOptions.v1
Starfish: $["READER-GATEWAY"]["endpointConfig"]["data"]["event"]["connections"][*]["options"]["additional"]["retain"] -&gt; #/components/schemas/mqttAdditionalOptions.v1/properties/retain
Starfish: $["READER-GATEWAY"]["endpointConfig"]["data"]["event"]["connections"][*]["options"] -&gt; #/components/schemas/aws.v1
Starfish: $["READER-GATEWAY"]["endpointConfig"]["data"]["event"]["connections"][*]["options"]["additional"] -&gt; #/components/schemas/aws.v1/properties/additional
Starfish: $["READER-GATEWAY"]["endpointConfig"]["data"]["event"]["connections"][*]["options"]["additional"]["retain"] -&gt; #/components/schemas/aws.v1/properties/additional/properties/retain
Starfish: $["READER-GATEWAY"]["endpointConfig"]["data"]["event"]["connections"][*]["options"]["additional"]["alpnProtocolNames"] -&gt; #/components/schemas/aws.v1/properties/additional/properties/alpnProtocolNames
Starfish: $["READER-GATEWAY"]["endpointConfig"]["data"]["event"]["connections"][*]["options"]["security"] -&gt; #/components/schemas/aws.v1/properties/security
Vulcan: $["READER-GATEWAY"]["endpointConfig"]["data"]["event"]["connections"][*]["options"] -&gt; #/components/schemas/SetConfigMqttRequest/properties/READER-GATEWAY/properties/endpointConfig/properties/data/properties/event/properties/connections/items/properties/options
Vulcan: $["READER-GATEWAY"]["endpointConfig"]["data"]["event"]["connections"][*]["options"]["additional"] -&gt; #/components/schemas/SetConfigMqttRequest/properties/READER-GATEWAY/properties/endpointConfig/properties/data/properties/event/properties/connections/items/properties/options/properties/additional
Vulcan: $["READER-GATEWAY"]["endpointConfig"]["data"]["event"]["connections"][*]["options"]["security"] -&gt; #/components/schemas/SetConfigMqttRequest/properties/READER-GATEWAY/properties/endpointConfig/properties/data/properties/event/properties/connections/items/properties/options/properties/security</t>
  </si>
  <si>
    <t xml:space="preserve">PUT config embeds the cloud connection contract under READER-GATEWAY. Vulcan omits named protocol-specific Starfish options despite Kamali reporting support.</t>
  </si>
  <si>
    <t xml:space="preserve">Use the implemented connection option shapes across import/config surfaces.</t>
  </si>
  <si>
    <t xml:space="preserve">Add the confirmed supported options to SetConfigMqttRequest as used by this REST endpoint. A schema name containing Mqtt does not by itself prove a firmware difference.</t>
  </si>
  <si>
    <t xml:space="preserve">Are all Starfish MQTT/HTTP/TCPIP/WebSocket/Azure/AWS option branches supported inside FXR PUT /cloud/config, with the same nesting and requiredness as cloudConfig?</t>
  </si>
  <si>
    <t xml:space="preserve">Starfish:
Why: response is same FX90
Needed: yes
Fix: No changes required
Kamali:
Why: due to hardware difference.fxr90 has 4 gpi pins,fx7500 has only 2.fx9600 has 4
Needed: The difference is due to hardware .schema may need to be upd</t>
  </si>
  <si>
    <t xml:space="preserve">Starfish: $ -&gt; #/paths/~1cloud~1gpi/get/responses/200/content/application~1json/schema
Starfish: $["1"] -&gt; #/paths/~1cloud~1gpi/get/responses/200/content/application~1json/schema/properties/1
Starfish: $["2"] -&gt; #/paths/~1cloud~1gpi/get/responses/200/content/application~1json/schema/properties/2
Starfish: $["3"] -&gt; #/paths/~1cloud~1gpi/get/responses/200/content/application~1json/schema/properties/3
Vulcan: $ -&gt; #/components/schemas/GetGPIStatusResponse
Vulcan: $["1"] -&gt; #/components/schemas/GetGPIStatusResponse/properties/1
Vulcan: $["2"] -&gt; #/components/schemas/GetGPIStatusResponse/properties/2
Vulcan: $["3"] -&gt; #/components/schemas/GetGPIStatusResponse/properties/3
Vulcan: $["4"] -&gt; #/components/schemas/GetGPIStatusResponse/properties/4</t>
  </si>
  <si>
    <t xml:space="preserve">Schema: $: type="object"; required=["1","2"]; $.1: type="string"; enum=["HIGH","LOW"]; $.2: type="string"; enum=["LOW","HIGH"]; $.3: type="string"; enum=["HIGH","LOW"]</t>
  </si>
  <si>
    <t xml:space="preserve">Schema: $: type="object"; required=["1","2","3","4"]; $.1: type="string"; enum=["HIGH","LOW"]; $.2: type="string"; enum=["HIGH","LOW"]; $.3: type="string"; enum=["HIGH","LOW"]; $.4: type="string"; enum=["HIGH","LOW"]</t>
  </si>
  <si>
    <t xml:space="preserve">Starfish GET gpi defines keys 1,2,3 and requires only 1,2, while its description says FX9600 has four GPIs. Vulcan defines/requires 1–4. Both comments agree FX9600/FXR90 have four.</t>
  </si>
  <si>
    <t xml:space="preserve">The FX9600-specific response must represent all four reported pins; do not apply FX7500’s two-pin model to FX9600.</t>
  </si>
  <si>
    <t xml:space="preserve">Add key 4 to the FX9600 response branch and use model-specific requiredness. Obtain the truncated remainder and confirm FXR60 port applicability before closing.</t>
  </si>
  <si>
    <t xml:space="preserve">Provide complete Kamali row 16 and a GET gpi response for FX9600 and FXR60. Are all four keys always returned, and does pin 4 use HIGH/LOW?</t>
  </si>
  <si>
    <t xml:space="preserve">Field review, source 16, Excel row 22</t>
  </si>
  <si>
    <t xml:space="preserve">Repository schema and original reviewer statements; no live reader test supplied.
Source limitation: Both comments align for FXR90/FX9600. FX7500’s two ports must not be applied to FX9600.</t>
  </si>
  <si>
    <t xml:space="preserve">Starfish:
Why: document is matching firmware
Needed: yes
Fix: No changes required
Kamali:
Not provided in the pasted Kamali review.</t>
  </si>
  <si>
    <t xml:space="preserve">Starfish: $["type"] -&gt; #/components/schemas/operatingMode.v1/properties/type
Starfish: $["accesses"][*]["config"]["wordCount"] -&gt; #/components/schemas/access_cmd_read.v1/properties/config/properties/wordCount
Starfish: $["accesses"][*][*]["config"]["wordCount"] -&gt; #/components/schemas/access_cmd_read.v1/properties/config/properties/wordCount
Starfish: $["beams"] -&gt; #/components/schemas/operatingMode.v1/properties/beams
Vulcan: $["type"] -&gt; #/components/schemas/operatingMode.v1/properties/type
Vulcan: $["inventoryProtocol"] -&gt; #/components/schemas/inventoryProtocol.v1
Vulcan: $["inventoryProtocol"]["mode"] -&gt; #/components/schemas/inventoryProtocol.v1/properties/mode
Vulcan: $["accesses"][*]["config"]["wordCount"] -&gt; #/components/schemas/access_cmd_read.v1/properties/config/properties/wordCount
Vulcan: $["accesses"][*][*]["config"]["wordCount"] -&gt; #/components/schemas/access_cmd_read.v1/properties/config/properties/wordCount</t>
  </si>
  <si>
    <t xml:space="preserve">Schema: $.type: type="string"; enum=["SIMPLE","INVENTORY","PORTAL","CONVEYOR","CUSTOM","DIRECTIONALITY"]; default="SIMPLE"; $.accesses/oneOf[0][]/anyOf[0].config.wordCount: type="integer"; $.accesses/oneOf[1][][]/anyOf[0].config.wordCount: type="integer"; $.beams: type="array"</t>
  </si>
  <si>
    <t xml:space="preserve">Schema: $.type: type="string"; enum=["SIMPLE","INVENTORY","PORTAL","CONVEYOR","CUSTOM"]; default="SIMPLE"; $.inventoryProtocol: type="object"; required=["mode"]; $.inventoryProtocol.mode: type="string"; enum=["GEN2X","GEN2","HYBRID"]; $.accesses/oneOf[0][]/anyOf[0].config.wordCount: type="integer"; $.accesses/oneOf[1][][]/anyOf[0].config.wordCount: type="integer"</t>
  </si>
  <si>
    <t xml:space="preserve">Starfish’s multi-model schema includes DIRECTIONALITY and beams; its beams description restricts them to ATR7000. Vulcan omits those but defines inventoryProtocol.mode GEN2X/GEN2/HYBRID. Both current READ branches use wordCount, not wordCounter.</t>
  </si>
  <si>
    <t xml:space="preserve">Document ATR7000-only fields separately; establish FX9600 versus FXR inventoryProtocol support. Do not rename already-matching wordCount.</t>
  </si>
  <si>
    <t xml:space="preserve">Obtain missing Kamali review and method-specific samples. For PUT, the Starfish comment discusses responses and is not a request-support confirmation.</t>
  </si>
  <si>
    <t xml:space="preserve">For GET responses, does FX9600 support inventoryProtocol, and is DIRECTIONALITY/beams excluded from FX9600 as the ATR7000 note implies? Is wordCount the wire name on both target releases?</t>
  </si>
  <si>
    <t xml:space="preserve">Field review, source 17, Excel row 23</t>
  </si>
  <si>
    <t xml:space="preserve">Repository schema and original reviewer statements; no live reader test supplied.
Source limitation: Starfish’s firmware-match statement does not prove platform parity.</t>
  </si>
  <si>
    <t xml:space="preserve">Starfish: $["tagMetaData"] -&gt; #/components/schemas/tagMetaData.v1
Starfish: $["tagMetaData"][*] -&gt; #/components/schemas/tagMetaData.v1/items
Starfish: $["tagMetaData"][*]["userDefined"] -&gt; #/components/schemas/tagMetaData.v1/items/properties/userDefined
Starfish: $["tagMetaData"][*]["antennaPortNames"] -&gt; #/components/schemas/tagMetaData.v1/items/properties/antennaPortNames
Vulcan: $["tagMetaData"] -&gt; #/components/schemas/tagMetaData.v1
Vulcan: $["tagMetaData"][*] -&gt; #/components/schemas/tagMetaData.v1/items
Vulcan: $["tagMetaData"][*] -&gt; #/components/schemas/tagMetaData.v1/items/oneOf/0
Vulcan: $["tagMetaData"][*] -&gt; #/components/schemas/tagMetaData.v1/items/oneOf/1
Vulcan: $["tagMetaData"][*]["userDefined"] -&gt; #/components/schemas/tagMetaData.v1/items/oneOf/1/properties/userDefined
Vulcan: $["tagMetaData"][*]["antennaNames"] -&gt; #/components/schemas/tagMetaData.v1/items/oneOf/1/properties/antennaNames
Vulcan: $["tagMetaData"][*]["gpsCoordinates"] -&gt; #/components/schemas/tagMetaData.v1/items/oneOf/1/properties/gpsCoordinates</t>
  </si>
  <si>
    <t xml:space="preserve">Schema: $.tagMetaData: type="array"; $.tagMetaData[]: type=["string","object"]; enum=["RSSI","PHASE","SEEN_COUNT","ANTENNA","CHANNEL","PC","XPC","CRC","EPC","TID","USER","RESERVED","MAC","HOSTNAME"]; $.tagMetaData[].userDefined: type="string"; $.tagMetaData[].antennaPortNames: type="array"</t>
  </si>
  <si>
    <t xml:space="preserve">Schema: $.tagMetaData: type="array"; $.tagMetaData[]: type/constraints not specified here; $.tagMetaData[]/oneOf[0]: type="string"; enum=["RSSI","PHASE","SEEN_COUNT","ANTENNA","CHANNEL","PC","XPC","CRC","EPC","TID","USER","MAC","HOSTNAME","READERLOCATION"]; $.tagMetaData[]/oneOf[1]: type="object"; $.tagMetaData[]/oneOf[1].userDefined: type="string"; $.tagMetaData[]/oneOf[1].antennaNames: type="array"; $.tagMetaData[]/oneOf[1].gpsCoordinates: type="object"</t>
  </si>
  <si>
    <t xml:space="preserve">Starfish tagMetaData items combine type [string,object] with an enum of strings, including RESERVED, and object antennaPortNames. Vulcan uses oneOf string/object, omits RESERVED, adds READERLOCATION and antennaNames/gpsCoordinates. The Starfish enum may exclude its documented object form.</t>
  </si>
  <si>
    <t xml:space="preserve">Use the exact accepted values and object keys for each platform, with a schema that permits the implemented object form.</t>
  </si>
  <si>
    <t xml:space="preserve">Verify metadata tokens and object inputs/outputs. Correct schema modeling if already supported; request firmware parity only for an approved missing capability.</t>
  </si>
  <si>
    <t xml:space="preserve">Which tokens and object keys are accepted/returned on each model: RESERVED, READERLOCATION, antennaPortNames, antennaNames and gpsCoordinates? Does Starfish accept metadata objects despite its string enum? Supply a method-specific example.</t>
  </si>
  <si>
    <t xml:space="preserve">Starfish:
Why: response of FX9600 is same as FX90 but ATR7000 has Directionality mode to support portal directionality
Needed: yes
Fix: No changes required
Kamali:
Not provided in the pasted Kamali review.</t>
  </si>
  <si>
    <t xml:space="preserve">Schema: $/allOf[0].type: type="string"; enum=["SIMPLE","INVENTORY","PORTAL","CONVEYOR","CUSTOM"]; default="SIMPLE"; $/allOf[0].inventoryProtocol: type="object"; required=["mode"]; $/allOf[0].inventoryProtocol.mode: type="string"; enum=["GEN2X","GEN2","HYBRID"]; $/allOf[0].accesses/oneOf[0][]/anyOf[0].config.wordCount: type="integer"; $/allOf[0].accesses/oneOf[1][][]/anyOf[0].config.wordCount: type="integer"</t>
  </si>
  <si>
    <t xml:space="preserve">For PUT requests, does FX9600 support inventoryProtocol, and is DIRECTIONALITY/beams excluded from FX9600 as the ATR7000 note implies? Is wordCount the wire name on both target releases?</t>
  </si>
  <si>
    <t xml:space="preserve">Field review, source 18, Excel row 24</t>
  </si>
  <si>
    <t xml:space="preserve">Repository schema and original reviewer statements; no live reader test supplied.
Source limitation: The Starfish comment says response although the row concerns a request.</t>
  </si>
  <si>
    <t xml:space="preserve">Schema: $/allOf[0].tagMetaData: type="array"; $/allOf[0].tagMetaData[]: type/constraints not specified here; $/allOf[0].tagMetaData[]/oneOf[0]: type="string"; enum=["RSSI","PHASE","SEEN_COUNT","ANTENNA","CHANNEL","PC","XPC","CRC","EPC","TID","USER","MAC","HOSTNAME","READERLOCATION"]; $/allOf[0].tagMetaData[]/oneOf[1]: type="object"; $/allOf[0].tagMetaData[]/oneOf[1].userDefined: type="string"; $/allOf[0].tagMetaData[]/oneOf[1].antennaNames: type="array"; $/allOf[0].tagMetaData[]/oneOf[1].gpsCoordinates: type="object"</t>
  </si>
  <si>
    <t xml:space="preserve">Starfish:
Why: FX9600 matches the FX90
Needed: yes
Fix: No changes required
Kamali:
Not provided in the pasted Kamali review.</t>
  </si>
  <si>
    <t xml:space="preserve">Starfish: $ -&gt; #/paths/~1cloud~1network/get/requestBody/content/application~1json/schema
Starfish: $["interface"] -&gt; #/paths/~1cloud~1network/get/requestBody/content/application~1json/schema/properties/interface
Vulcan: $ -&gt; #/components/schemas/GetNetworkRequest
Vulcan: $["interface"] -&gt; #/components/schemas/GetNetworkRequest/properties/interface</t>
  </si>
  <si>
    <t xml:space="preserve">Schema: $: type="object"; $.interface: type="string"; enum=["all","eth0","mlan0"]</t>
  </si>
  <si>
    <t xml:space="preserve">Schema: $: type="object"; $.interface: type="string"; enum=["eth0","mlan0","bnep0","wan0","uap0","all"]</t>
  </si>
  <si>
    <t xml:space="preserve">The old comment says Vulcan has no body, but both current schemas have optional JSON interface. Starfish enum is all/eth0/mlan0; Vulcan also lists bnep0/wan0/uap0. No query parameter is declared in either.</t>
  </si>
  <si>
    <t xml:space="preserve">Document a GET body only where implemented, with model-specific selector values and no invented query alternative.</t>
  </si>
  <si>
    <t xml:space="preserve">Correct the stale comparison statement. Obtain captures for omitted body and each supported selector, including transport/client compatibility.</t>
  </si>
  <si>
    <t xml:space="preserve">Do both readers accept {"interface":"eth0"} in a GET body? What does an omitted body return? Are extra Vulcan selectors limited by model, and is any query alternative supported?</t>
  </si>
  <si>
    <t xml:space="preserve">Field review, source 19, Excel row 25</t>
  </si>
  <si>
    <t xml:space="preserve">Repository schema and original reviewer statements; no live reader test supplied.
Source limitation: Do not assume a GET parameter is query-only or body-only without confirmation.</t>
  </si>
  <si>
    <t xml:space="preserve">Starfish:
Why: FX9600 does not support ble
Needed: yes
Fix: No changes required
Kamali:
Not provided in the pasted Kamali review.</t>
  </si>
  <si>
    <t xml:space="preserve">Starfish: $ -&gt; #/paths/~1cloud~1network/put/responses/200/content/text~1html/schema
Vulcan: $ -&gt; #/components/schemas/UpdateNetworkResponse</t>
  </si>
  <si>
    <t xml:space="preserve">Schema: $: type="string"; default="Command Successful"</t>
  </si>
  <si>
    <t xml:space="preserve">Schema: $: type="string"</t>
  </si>
  <si>
    <t xml:space="preserve">Original row says PUT RESPONSE, but cited detail filenames and interface variants describe GET. Current PUT success schemas are strings on both; the GET schemas contain network interfaces.</t>
  </si>
  <si>
    <t xml:space="preserve">Assign the response-shape question to the correct operation without silently rewriting the original comment.</t>
  </si>
  <si>
    <t xml:space="preserve">Retain the source method in the tracker and request correction to GET if intended. Review GET variants separately in F-020A.</t>
  </si>
  <si>
    <t xml:space="preserve">Should field row 20 be GET /cloud/network RESPONSE? Current PUT schemas are string acknowledgements; are there undocumented PUT response objects to review?</t>
  </si>
  <si>
    <t xml:space="preserve">Field review, source 20, Excel row 26</t>
  </si>
  <si>
    <t xml:space="preserve">Repository schema and original reviewer statements; no live reader test supplied.
Source limitation: Original method PUT retained. BLE absence alone does not resolve WAN, hotspot or wrapper differences.</t>
  </si>
  <si>
    <t xml:space="preserve">Starfish: $ -&gt; #/paths/~1cloud~1network/get/responses/200/content/application~1json/schema
Starfish: $ -&gt; #/components/schemas/readernetwork.default.v1
Starfish: $["hostName"] -&gt; #/components/schemas/readernetwork.default.v1/properties/hostName
Starfish: $ -&gt; #/components/schemas/readerNetworkDetailsALL
Starfish: $["hostName"] -&gt; #/components/schemas/readerNetworkDetailsALL/properties/hostName
Starfish: $["networkInterface"] -&gt; #/components/schemas/readerNetworkDetailsALL/properties/networkInterface
Starfish: $["networkInterface"]["eth0"] -&gt; #/components/schemas/readerNetworkDetailsALL/properties/networkInterface/properties/eth0
Starfish: $["networkInterface"]["mlan0"] -&gt; #/components/schemas/readerNetworkDetailsALL/properties/networkInterface/properties/mlan0
Starfish: $ -&gt; #/components/schemas/readernetwork.eth0.v1
Starfish: $["hostName"] -&gt; #/components/schemas/readernetwork.eth0.v1/properties/hostName
Starfish: $["networkInterface"] -&gt; #/components/schemas/readernetwork.eth0.v1/properties/networkInterface
Starfish: $["networkInterface"]["eth0"] -&gt; #/components/schemas/readernetwork.eth0.v1/properties/networkInterface/properties/eth0
Starfish: $ -&gt; #/components/schemas/readernetwork.mlan0.v1
Starfish: $["hostName"] -&gt; #/components/schemas/readernetwork.mlan0.v1/properties/hostName
Starfish: $["networkInterface"] -&gt; #/components/schemas/readernetwork.mlan0.v1/properties/networkInterface
Starfish: $["networkInterface"]["mlan0"] -&gt; #/components/schemas/readernetwork.mlan0.v1/properties/networkInterface/properties/mlan0
Vulcan: $ -&gt; #/components/schemas/GetNetworkResponse
Vulcan: $["hostName"] -&gt; #/components/schemas/GetNetworkResponse/properties/hostName
Vulcan: $["networkInterface"] -&gt; #/components/schemas/GetNetworkResponse/properties/networkInterface
Vulcan: $["networkInterface"]["eth0"] -&gt; #/components/schemas/GetNetworkResponse/properties/networkInterface/properties/eth0
Vulcan: $["networkInterface"]["mlan0"] -&gt; #/components/schemas/GetNetworkResponse/properties/networkInterface/properties/mlan0
Vulcan: $["networkInterface"]["bnep0"] -&gt; #/components/schemas/GetNetworkResponse/properties/networkInterface/properties/bnep0
Vulcan: $["networkInterface"]["wan0"] -&gt; #/components/schemas/GetNetworkResponse/properties/networkInterface/properties/wan0
Vulcan: $["networkInterface"]["uap0"] -&gt; #/components/schemas/GetNetworkResponse/properties/networkInterface/properties/uap0</t>
  </si>
  <si>
    <t xml:space="preserve">Schema: $: type/constraints not specified here; $/oneOf[0]: type="object"; required=["hostName","ipAddress","gatewayAddress","subnetMask","dnsAddress","dhcp","macAddress"]; $/oneOf[0].hostName: type="string"; $/oneOf[1]: type="object"; required=["hostName","networkInterface"]; $/oneOf[1].hostName: type="string"; $/oneOf[1].networkInterface: type="object"; required=["eth0","mlan0"]; $/oneOf[1].networkInterface.eth0: type="object"; required=["IPV4","IPV6","Status","isEnabled","macAddress","security"]; $/oneOf[1].networkInterface.mlan0: type="object"; required=["IPV4","IPV6","Status","isEnabled","macAddress","accesspoint"]; full field types and constraints in the linked walkthrough.</t>
  </si>
  <si>
    <t xml:space="preserve">Schema: $: type="object"; $.hostName: type="string"; $.networkInterface: type="object"; $.networkInterface.eth0: type="object"; $.networkInterface.mlan0: type="object"; $.networkInterface.bnep0: type="object"; $.networkInterface.wan0: type="object"; $.networkInterface.uap0: type="object"</t>
  </si>
  <si>
    <t xml:space="preserve">Starfish GET has oneOf flat legacy, all interfaces, eth0-only and mlan0-only forms. Vulcan has a single object with eth0/mlan0/bnep0/wan0/uap0. The source only explains BLE absence, leaving wrapper and other interfaces unresolved.</t>
  </si>
  <si>
    <t xml:space="preserve">Document actual selector-dependent response shapes and supported interfaces per model. Do not claim all branches apply to FX9600.</t>
  </si>
  <si>
    <t xml:space="preserve">Capture omitted/all/eth0/mlan0 responses and confirm WAN/hotspot scope. Keep interface capability differences separate from schema-wrapper corrections.</t>
  </si>
  <si>
    <t xml:space="preserve">On FX9600, which selector/release produces the flat versus nested response? On FXR, which interfaces are returned for each selector and model? Are uap0 and wan0 intentionally unavailable on FX9600?</t>
  </si>
  <si>
    <t xml:space="preserve">Starfish:
Why: FX9600 has only one field server
Needed: yes
Fix: No changes required
Kamali:
Not provided in the pasted Kamali review.</t>
  </si>
  <si>
    <t xml:space="preserve">Starfish: $ -&gt; #/components/schemas/setNTPServer
Starfish: $["server"] -&gt; #/components/schemas/setNTPServer/properties/server
Vulcan: $ -&gt; #/components/schemas/UpdateNtpServerRequest
Vulcan: $ -&gt; #/components/schemas/UpdateNtpServerRequest/oneOf/0
Vulcan: $["server"] -&gt; #/components/schemas/UpdateNtpServerRequest/oneOf/0/properties/server
Vulcan: $["server2"] -&gt; #/components/schemas/UpdateNtpServerRequest/oneOf/0/properties/server2
Vulcan: $ -&gt; #/components/schemas/UpdateNtpServerRequest/oneOf/1
Vulcan: $["server1"] -&gt; #/components/schemas/UpdateNtpServerRequest/oneOf/1/properties/server1
Vulcan: $["server2"] -&gt; #/components/schemas/UpdateNtpServerRequest/oneOf/1/properties/server2</t>
  </si>
  <si>
    <t xml:space="preserve">Schema: $: type="object"; required=["server"]; $.server: type="string"</t>
  </si>
  <si>
    <t xml:space="preserve">Schema: $: type/constraints not specified here; $/oneOf[0]: type="object"; required=["server"]; $/oneOf[0].server: type="string"; $/oneOf[0].server2: type="string"; $/oneOf[1]: type="object"; required=["server1"]; $/oneOf[1].server1: type="string"; $/oneOf[1].server2: type="string"</t>
  </si>
  <si>
    <t xml:space="preserve">Starfish requires server:string. Vulcan oneOf accepts required server or required server1, each with optional server2. Starfish reviewer confirms its single field; Kamali’s row is missing.</t>
  </si>
  <si>
    <t xml:space="preserve">Keep the reported Starfish single-server contract; establish FXR aliases and fallback semantics.</t>
  </si>
  <si>
    <t xml:space="preserve">Confirm server/server1 precedence, server2 behavior and whether both aliases can coexist. Correct oneOf if its exclusivity does not match runtime.</t>
  </si>
  <si>
    <t xml:space="preserve">Does FXR accept server, server1 and server2 as documented? What happens when server and server1 are both sent, or server2 is sent alone? Is FX9600 single-server behavior intentional?</t>
  </si>
  <si>
    <t xml:space="preserve">Field review, source 21, Excel row 27</t>
  </si>
  <si>
    <t xml:space="preserve">Starfish:
Why: FX9600 has backoff policy to support resonate
Needed: yes
Fix: No changes required
Kamali:
Not provided in the pasted Kamali review.</t>
  </si>
  <si>
    <t xml:space="preserve">Starfish: $["retry"] -&gt; #/components/schemas/os_update.v1/properties/retry
Starfish: $["retry"]["type"] -&gt; #/components/schemas/os_update.v1/properties/retry/properties/type
Starfish: $["retry"]["policy"] -&gt; #/components/schemas/os_update.v1/properties/retry/properties/policy
Starfish: $["retry"]["policy"]["retries"] -&gt; #/components/schemas/os_update.v1/properties/retry/properties/policy/properties/retries
Starfish: $["retry"]["policy"]["wait"] -&gt; #/components/schemas/os_update.v1/properties/retry/properties/policy/properties/wait
Starfish: $["retry"]["policy"]["wait"]["min"] -&gt; #/components/schemas/os_update.v1/properties/retry/properties/policy/properties/wait/properties/min
Starfish: $["retry"]["policy"]["wait"]["max"] -&gt; #/components/schemas/os_update.v1/properties/retry/properties/policy/properties/wait/properties/max
Starfish: $["timeouts"] -&gt; #/components/schemas/os_update.v1/properties/timeouts
Starfish: $["timeouts"]["connection"] -&gt; #/components/schemas/os_update.v1/properties/timeouts/properties/connection
Starfish: $["timeouts"]["read"] -&gt; #/components/schemas/os_update.v1/properties/timeouts/properties/read
Vulcan: No target field declared -&gt; #/paths/~1cloud~1os/put</t>
  </si>
  <si>
    <t xml:space="preserve">Schema: $.retry: type="object"; $.retry.type: type="string"; enum=["randomWait"]; $.retry.policy: type="object"; $.retry.policy.retries: type="integer"; minimum=1; maximum=50; default=1; $.retry.policy.wait: type="object"; $.retry.policy.wait.min: type="integer"; minimum=0; maximum=3600; default=30; $.retry.policy.wait.max: type="integer"; minimum=1; maximum=3600; default=300; $.timeouts: type="object"; $.timeouts.connection: type="integer"; minimum=1; maximum=3600; default=60; $.timeouts.read: type="integer"; minimum=1; maximum=3600; default=600</t>
  </si>
  <si>
    <t xml:space="preserve">Starfish OS upgrade defines retry/timeouts with backoff bounds; Vulcan omits them. App-install timing from F-011 is not evidence for this endpoint. The Vulcan operation description also explicitly says HTTPS retry and timeout options are not supported.</t>
  </si>
  <si>
    <t xml:space="preserve">Determine OS-specific support and target firmware before documenting parity.</t>
  </si>
  <si>
    <t xml:space="preserve">Obtain the missing Kamali OS review and test contract. Update schema if implemented; record firmware work only if an approved missing capability is confirmed.</t>
  </si>
  <si>
    <t xml:space="preserve">Which FXR OS-upgrade firmware accepts retry.type=randomWait, policy.retries/wait and timeouts.connection/read? Are the Starfish bounds/defaults identical, and what release introduced them?</t>
  </si>
  <si>
    <t xml:space="preserve">Field review, source 22, Excel row 28</t>
  </si>
  <si>
    <t xml:space="preserve">Starfish: $["url"] -&gt; #/components/schemas/os_update.v1/properties/url
Starfish: $["options"] -&gt; #/components/schemas/os_update.v1/properties/options
Starfish: $["options"]["username"] -&gt; #/components/schemas/os_update.v1/properties/options/properties/username
Starfish: $["options"]["password"] -&gt; #/components/schemas/os_update.v1/properties/options/properties/password
Starfish: $["headers"] -&gt; #/components/schemas/os_update.v1/properties/headers
Vulcan: $["authenticationOptions"] -&gt; #/components/schemas/SetOsRequest/properties/authenticationOptions
Vulcan: $["authenticationOptions"]["username"] -&gt; #/components/schemas/SetOsRequest/properties/authenticationOptions/properties/username
Vulcan: $["authenticationOptions"]["password"] -&gt; #/components/schemas/SetOsRequest/properties/authenticationOptions/properties/password
Vulcan: $["url"] -&gt; #/components/schemas/SetOsRequest/properties/url
Vulcan: $["url"] -&gt; #/components/schemas/SetOsRequest/properties/url/oneOf/0
Vulcan: $["url"] -&gt; #/components/schemas/SetOsRequest/properties/url/oneOf/1
Vulcan: $["url"] -&gt; #/components/schemas/SetOsRequest/properties/url/oneOf/2
Vulcan: $["url"] -&gt; #/components/schemas/SetOsRequest/properties/url/oneOf/3
Vulcan: $["publicKeyFileLocation"] -&gt; #/components/schemas/SetOsRequest/properties/publicKeyFileLocation
Vulcan: $["privateKeyFileLocation"] -&gt; #/components/schemas/SetOsRequest/properties/privateKeyFileLocation
Vulcan: $["installedCertificateType"] -&gt; #/components/schemas/SetOsRequest/properties/installedCertificateType
Vulcan: $["installedCertificateName"] -&gt; #/components/schemas/SetOsRequest/properties/installedCertificateName
Vulcan: $["headers"] -&gt; #/components/schemas/SetOsRequest/properties/headers</t>
  </si>
  <si>
    <t xml:space="preserve">Schema: $.url: type="string"; $.options: type="object"; $.options.username: type="string"; $.options.password: type="string"; $.headers: type="object"</t>
  </si>
  <si>
    <t xml:space="preserve">Schema: $.authenticationOptions: type="object"; required=["username","password"]; $.authenticationOptions.username: type="string"; $.authenticationOptions.password: type="string"; $.url: type="string"; format="uri"; $.url/oneOf[0]: pattern="^scp://.+"; $.url/oneOf[1]: pattern="^https://.+"; $.url/oneOf[2]: pattern="^sftp://.+"; $.url/oneOf[3]: pattern="^ftps://.+"; $.publicKeyFileLocation: type="string"; $.privateKeyFileLocation: type="string"; $.installedCertificateType: type="string"; $.installedCertificateName: type="string"; $.headers: type="object"; additionalProperties={"type":"string"}</t>
  </si>
  <si>
    <t xml:space="preserve">Starfish schema uses options for credentials; Vulcan schema still uses authenticationOptions. Vulcan constrains URL schemes to scp/https/sftp/ftps and adds key/certificate fields. The original transfer_protocol claim is not a field in either current request schema. Vulcan narrative recommends authenticationOptions with options as a fallback, but only authenticationOptions is modeled.</t>
  </si>
  <si>
    <t xml:space="preserve">Use the accepted credential key and transport-specific options for the target release.</t>
  </si>
  <si>
    <t xml:space="preserve">Reconcile Vulcan narrative/examples with its schema and capture accepted options versus authenticationOptions. Verify certificate and header fields independently.</t>
  </si>
  <si>
    <t xml:space="preserve">For FXR PUT /cloud/os, is options or authenticationOptions accepted today? Are the listed URL schemes and installed/public/private certificate fields valid for each transport? Is transfer_protocol obsolete or an actual missing field?</t>
  </si>
  <si>
    <t xml:space="preserve">Starfish:
Why: FX9600 document matches the firmware
Needed: yes
Fix: No changes required
Kamali:
Not provided in the pasted Kamali review.</t>
  </si>
  <si>
    <t xml:space="preserve">Starfish: $["capabilities"]["antennas"][*]["type"] -&gt; #/components/schemas/getReaderCapabilites/properties/capabilities/properties/antennas/items/properties/type
Starfish: $["capabilities"]["apiSupported"]["versions"] -&gt; #/components/schemas/getReaderCapabilites/properties/capabilities/properties/apiSupported/properties/versions
Starfish: $["capabilities"]["apiSupported"]["versions"]["documentation"] -&gt; #/components/schemas/getReaderCapabilites/properties/capabilities/properties/apiSupported/properties/versions/properties/documentation
Starfish: $["capabilities"]["apiSupported"]["versions"]["version"] -&gt; #/components/schemas/getReaderCapabilites/properties/capabilities/properties/apiSupported/properties/versions/properties/version
Starfish: $["capabilities"]["appLedColors"] -&gt; #/components/schemas/getReaderCapabilites/properties/capabilities/properties/appLedColors
Starfish: $["capabilities"]["appLedColors"][*] -&gt; #/components/schemas/getReaderCapabilites/properties/capabilities/properties/appLedColors/items
Vulcan: $["capabilities"]["antennas"][*]["type"] -&gt; #/components/schemas/GetReadercapabilitiesResponse/properties/capabilities/properties/antennas/items/properties/type
Vulcan: $["capabilities"]["apiSupported"]["versions"] -&gt; #/components/schemas/GetReadercapabilitiesResponse/properties/capabilities/properties/apiSupported/properties/versions
Vulcan: $["capabilities"]["apiSupported"]["versions"][*] -&gt; #/components/schemas/GetReadercapabilitiesResponse/properties/capabilities/properties/apiSupported/properties/versions/items
Vulcan: $["capabilities"]["apiSupported"]["versions"][*]["documentation"] -&gt; #/components/schemas/GetReadercapabilitiesResponse/properties/capabilities/properties/apiSupported/properties/versions/items/properties/documentation
Vulcan: $["capabilities"]["apiSupported"]["versions"][*]["version"] -&gt; #/components/schemas/GetReadercapabilitiesResponse/properties/capabilities/properties/apiSupported/properties/versions/items/properties/version
Vulcan: $["capabilities"]["appLEDColors"] -&gt; #/components/schemas/GetReadercapabilitiesResponse/properties/capabilities/properties/appLEDColors
Vulcan: $["capabilities"]["appLEDColors"][*] -&gt; #/components/schemas/GetReadercapabilitiesResponse/properties/capabilities/properties/appLEDColors/items</t>
  </si>
  <si>
    <t xml:space="preserve">Schema: $.capabilities.antennas[].type: type="string"; enum=["INTERNAL","EXTERNAL"]; $.capabilities.apiSupported.versions: type="object"; required=["documentation","version"]; $.capabilities.apiSupported.versions.documentation: type="string"; $.capabilities.apiSupported.versions.version: type="string"; enum=["v1"]; $.capabilities.appLedColors: type="array"; minItems=1; $.capabilities.appLedColors[]: type="string"; enum=["RED","GREEN","AMBER"]</t>
  </si>
  <si>
    <t xml:space="preserve">Schema: $.capabilities.antennas[].type: type="string"; enum=["external","internal"]; $.capabilities.apiSupported.versions: type="array"; $.capabilities.apiSupported.versions[]: type="object"; $.capabilities.apiSupported.versions[].documentation: type="string"; $.capabilities.apiSupported.versions[].version: type="string"; $.capabilities.appLEDColors: type="array"; $.capabilities.appLEDColors[]: type="string"</t>
  </si>
  <si>
    <t xml:space="preserve">Starfish apiSupported.versions is an object, appLedColors has mixed case and antenna types are uppercase. Vulcan versions is an array, appLEDColors differs in case and antenna types are lowercase. Starfish says its document matches firmware; no Kamali response is supplied.</t>
  </si>
  <si>
    <t xml:space="preserve">Preserve real wire differences unless a compatibility change is explicitly approved.</t>
  </si>
  <si>
    <t xml:space="preserve">Capture both capability responses; classify each difference as an intentional contract or schema error before standardizing names.</t>
  </si>
  <si>
    <t xml:space="preserve">Does FXR actually return versions as an array, appLEDColors and lowercase antenna types, while FX9600 returns object/appLedColors/uppercase? If so, should documentation retain these platform variants?</t>
  </si>
  <si>
    <t xml:space="preserve">Field review, source 23, Excel row 29</t>
  </si>
  <si>
    <t xml:space="preserve">Repository schema and original reviewer statements; no live reader test supplied.
Source limitation: Real array/object and case differences must not be dismissed as schema noise.</t>
  </si>
  <si>
    <t xml:space="preserve">Starfish: $["capabilities"]["maxAppLEDs"] -&gt; #/components/schemas/getReaderCapabilites/properties/capabilities/properties/maxAppLEDs
Starfish: $["capabilities"]["networkInterfaces"][*] -&gt; #/components/schemas/getReaderCapabilites/properties/capabilities/properties/networkInterfaces/items
Starfish: $["capabilities"]["networkInterfaces"][*]["type"] -&gt; #/components/schemas/getReaderCapabilites/properties/capabilities/properties/networkInterfaces/items/properties/type
Starfish: $["capabilities"]["numGPIs"] -&gt; #/components/schemas/getReaderCapabilites/properties/capabilities/properties/numGPIs
Starfish: $["capabilities"]["numGPOs"] -&gt; #/components/schemas/getReaderCapabilites/properties/capabilities/properties/numGPOs
Vulcan: $["capabilities"]["stackLED"] -&gt; #/components/schemas/GetReadercapabilitiesResponse/properties/capabilities/properties/stackLED
Vulcan: $["capabilities"]["maxAppLEDs"] -&gt; #/components/schemas/GetReadercapabilitiesResponse/properties/capabilities/properties/maxAppLEDs
Vulcan: $["capabilities"]["networkInterfaces"][*] -&gt; #/components/schemas/GetReadercapabilitiesResponse/properties/capabilities/properties/networkInterfaces/items
Vulcan: $["capabilities"]["networkInterfaces"][*]["type"] -&gt; #/components/schemas/GetReadercapabilitiesResponse/properties/capabilities/properties/networkInterfaces/items/properties/type
Vulcan: $["capabilities"]["networkInterfaces"][*]["supportedSim"] -&gt; #/components/schemas/GetReadercapabilitiesResponse/properties/capabilities/properties/networkInterfaces/items/properties/supportedSim
Vulcan: $["capabilities"]["networkInterfaces"][*]["supportedSim"][*] -&gt; #/components/schemas/GetReadercapabilitiesResponse/properties/capabilities/properties/networkInterfaces/items/properties/supportedSim/items
Vulcan: $["capabilities"]["networkInterfaces"][*]["NetworkType"] -&gt; #/components/schemas/GetReadercapabilitiesResponse/properties/capabilities/properties/networkInterfaces/items/properties/NetworkType
Vulcan: $["capabilities"]["networkInterfaces"][*]["NetworkType"][*] -&gt; #/components/schemas/GetReadercapabilitiesResponse/properties/capabilities/properties/networkInterfaces/items/properties/NetworkType/items
Vulcan: $["capabilities"]["numGPIs"] -&gt; #/components/schemas/GetReadercapabilitiesResponse/properties/capabilities/properties/numGPIs
Vulcan: $["capabilities"]["numGPOs"] -&gt; #/components/schemas/GetReadercapabilitiesResponse/properties/capabilities/properties/numGPOs
Vulcan: $["capabilities"]["gen2xFeaturesSupported"] -&gt; #/components/schemas/GetReadercapabilitiesResponse/properties/capabilities/properties/gen2xFeaturesSupported
Vulcan: $["capabilities"]["gen2xFeaturesSupported"][*] -&gt; #/components/schemas/GetReadercapabilitiesResponse/properties/capabilities/properties/gen2xFeaturesSupported/items</t>
  </si>
  <si>
    <t xml:space="preserve">Schema: $.capabilities.maxAppLEDs: type="integer"; $.capabilities.networkInterfaces[]: type="object"; required=["802.1x","internal","ipAssignment","ipStack","type"]; $.capabilities.networkInterfaces[].type: type="string"; enum=["ETHERNET","WIFI","BLUETOOTH"]; $.capabilities.numGPIs: type="integer"; $.capabilities.numGPOs: type="integer"</t>
  </si>
  <si>
    <t xml:space="preserve">Schema: $.capabilities.stackLED: type/constraints not specified here; $.capabilities.maxAppLEDs: type="number"; $.capabilities.networkInterfaces[]: type="object"; required=["type","internal","ipStack","ipAssignment","802.1x"]; $.capabilities.networkInterfaces[].type: type="string"; enum=["ETHERNET","WIFI","BLUETOOTH","WAN"]; $.capabilities.networkInterfaces[].supportedSim: type="array"; $.capabilities.networkInterfaces[].supportedSim[]: type="string"; enum=["Physical SIM","Embedded SIM"]; $.capabilities.networkInterfaces[].NetworkType: type="array"; $.capabilities.networkInterfaces[].NetworkType[]: type="string"; enum=["AUTO","LTE","NR5G"]; full field types and constraints in the linked walkthrough.</t>
  </si>
  <si>
    <t xml:space="preserve">Vulcan adds WAN/SIM/network-type, stackLED and gen2xFeaturesSupported. Starfish is a multi-model schema and even lists BLUETOOTH as an interface type, which must not be read as FX9600 BLE-scanning support. Several counters are integer on Starfish and number on Vulcan.</t>
  </si>
  <si>
    <t xml:space="preserve">Scope capability values to model/firmware and use the real numeric types.</t>
  </si>
  <si>
    <t xml:space="preserve">Obtain FX9600/FXR60/FXR90 capability samples. Keep radio-scanning support distinct from a Bluetooth network interface.</t>
  </si>
  <si>
    <t xml:space="preserve">Which WAN/SIM/stack LED/Gen2X capability keys are returned by each model? Are count fields always integers? Does BLUETOOTH describe networking rather than BLE scanning on the relevant platform?</t>
  </si>
  <si>
    <t xml:space="preserve">Starfish:
Why: FX9600 document is matching firmware
Needed: yes
Fix: No changes required
Kamali:
Not provided in the pasted Kamali review.</t>
  </si>
  <si>
    <t xml:space="preserve">Starfish: $ -&gt; #/components/schemas/regionconfig.v1
Starfish: $["region"] -&gt; #/components/schemas/regionconfig.v1/properties/region
Starfish: $["regulatoryStandard"] -&gt; #/components/schemas/regionconfig.v1/properties/regulatoryStandard
Starfish: $["lbtEnabled"] -&gt; #/components/schemas/regionconfig.v1/properties/lbtEnabled
Starfish: $["channelData"] -&gt; #/components/schemas/regionconfig.v1/properties/channelData
Starfish: $["channelData"][*] -&gt; #/components/schemas/regionconfig.v1/properties/channelData/items
Starfish: $["minTxPowerSupported"] -&gt; #/components/schemas/regionconfig.v1/properties/minTxPowerSupported
Starfish: $["maxTxPowerSupported"] -&gt; #/components/schemas/regionconfig.v1/properties/maxTxPowerSupported
Vulcan: $ -&gt; #/components/schemas/GetRegionResponse
Vulcan: $["FrequencyHopping"] -&gt; #/components/schemas/GetRegionResponse/properties/FrequencyHopping
Vulcan: $["region"] -&gt; #/components/schemas/GetRegionResponse/properties/region
Vulcan: $["regulatoryStandard"] -&gt; #/components/schemas/GetRegionResponse/properties/regulatoryStandard
Vulcan: $["lbtEnabled"] -&gt; #/components/schemas/GetRegionResponse/properties/lbtEnabled
Vulcan: $["channelData"] -&gt; #/components/schemas/GetRegionResponse/properties/channelData
Vulcan: $["channelData"][*] -&gt; #/components/schemas/GetRegionResponse/properties/channelData/items
Vulcan: $["country"] -&gt; #/components/schemas/GetRegionResponse/properties/country
Vulcan: $["minTxPowerSupported"] -&gt; #/components/schemas/GetRegionResponse/properties/minTxPowerSupported
Vulcan: $["maxTxPowerSupported"] -&gt; #/components/schemas/GetRegionResponse/properties/maxTxPowerSupported</t>
  </si>
  <si>
    <t xml:space="preserve">Schema: $: type="object"; required=["region","lbtEnabled"]; $.region: type="string"; $.regulatoryStandard: type="string"; $.lbtEnabled: type="boolean"; default=false; $.channelData: type="array"; $.channelData[]: type="number"; $.minTxPowerSupported: type="integer"; enum=[0]; $.maxTxPowerSupported: type="integer"; enum=[300]</t>
  </si>
  <si>
    <t xml:space="preserve">Schema: $: type="object"; $.FrequencyHopping: type="boolean"; $.region: type="string"; $.regulatoryStandard: type="string"; $.lbtEnabled: type="boolean"; $.channelData: type="array"; $.channelData[]: type="string"; $.country: type="string"; $.minTxPowerSupported: type="number"; $.maxTxPowerSupported: type="number"</t>
  </si>
  <si>
    <t xml:space="preserve">Vulcan adds FrequencyHopping/country, uses channelData strings and unconstrained numeric power fields. Starfish channelData items are numbers and min/max power are integer enums [0]/[300]. Starfish says its document matches firmware.</t>
  </si>
  <si>
    <t xml:space="preserve">Document exact response types, units and regulatory/model limits without treating example power values as universal unless confirmed.</t>
  </si>
  <si>
    <t xml:space="preserve">Obtain paired region responses and confirm field presence, channel units and power constraints.</t>
  </si>
  <si>
    <t xml:space="preserve">Are channelData elements strings on FXR and numbers on FX9600? Are 0 and 300 fixed FX9600 power values or examples, and are country/FrequencyHopping truly FXR-only?</t>
  </si>
  <si>
    <t xml:space="preserve">Field review, source 24, Excel row 30</t>
  </si>
  <si>
    <t xml:space="preserve">Starfish:
Why: FX9600 has applyImpinjGen2X in payload and does not have scanType, documentation needs to be updated for applyImpinjGen2X for FX9600
Needed: yes
Fix: No changes required
Kamali:
Not provided in the pasted Kamali review.</t>
  </si>
  <si>
    <t xml:space="preserve">Starfish: $ -&gt; #/components/schemas/start
Starfish: $["doNotPersistState"] -&gt; #/components/schemas/start/properties/doNotPersistState
Vulcan: $ -&gt; #/components/schemas/StartInventoryRequest
Vulcan: $["scanType"] -&gt; #/components/schemas/StartInventoryRequest/properties/scanType
Vulcan: $["scanType"][*] -&gt; #/components/schemas/StartInventoryRequest/properties/scanType/items
Vulcan: $["doNotPersistState"] -&gt; #/components/schemas/StartInventoryRequest/properties/doNotPersistState
Vulcan: $["applyImpinjGen2X"] -&gt; #/components/schemas/StartInventoryRequest/properties/applyImpinjGen2X</t>
  </si>
  <si>
    <t xml:space="preserve">Schema: $: type="object"; $.doNotPersistState: type="boolean"; default=true</t>
  </si>
  <si>
    <t xml:space="preserve">Schema: $: type="object"; $.scanType: type="array"; minItems=1; $.scanType[]: type="string"; enum=["ble","rfid"]; $.doNotPersistState: type="boolean"; $.applyImpinjGen2X: type="boolean"</t>
  </si>
  <si>
    <t xml:space="preserve">Starfish /start schema only lists doNotPersistState, but its reviewer explicitly says applyImpinjGen2X exists and scanType does not. Vulcan has both.</t>
  </si>
  <si>
    <t xml:space="preserve">Add the implemented FX9600 applyImpinjGen2X flag without adding scanType or assuming the dedicated Gen2X endpoint exists.</t>
  </si>
  <si>
    <t xml:space="preserve">Add the Starfish request property and example, after confirming boolean type, default and per-start semantics.</t>
  </si>
  <si>
    <t xml:space="preserve">Is applyImpinjGen2X boolean on FX9600, what is its default when omitted, and is its effect limited to the current start/session? Provide a successful request.</t>
  </si>
  <si>
    <t xml:space="preserve">Field review, source 25, Excel row 31</t>
  </si>
  <si>
    <t xml:space="preserve">Repository schema and original reviewer statements; no live reader test supplied.
Source limitation: Starfish “No changes required” conflicts with its own explicit documentation-update comment. Endpoint Gen2X support remains a separate question.</t>
  </si>
  <si>
    <t xml:space="preserve">Starfish:
Why: FX9600 reports impinjGen2X in status but not ble
Needed: yes
Fix: FX9600 documetation needs to be updated
Kamali:
Not provided in the pasted Kamali review.</t>
  </si>
  <si>
    <t xml:space="preserve">Starfish: No target field declared -&gt; #/paths/~1cloud~1status/get
Vulcan: $["impinjGen2X"] -&gt; #/components/schemas/GetStatusResponse/properties/impinjGen2X
Vulcan: $["impinjGen2X"]["isActive"] -&gt; #/components/schemas/GetStatusResponse/properties/impinjGen2X/properties/isActive
Vulcan: $["impinjGen2X"]["feature"] -&gt; #/components/schemas/GetStatusResponse/properties/impinjGen2X/properties/feature
Vulcan: $["ble"] -&gt; #/components/schemas/GetStatusResponse/properties/ble</t>
  </si>
  <si>
    <t xml:space="preserve">Schema: $.impinjGen2X: type="object"; $.impinjGen2X.isActive: type="boolean"; $.impinjGen2X.feature: type="string"; enum=["none","fastId","tagFocus","tagProtect","tagQuieting"]; $.ble: type="object"</t>
  </si>
  <si>
    <t xml:space="preserve">Starfish reviewer confirms impinjGen2X in status and no ble. Its current normal status schema lacks impinjGen2X; Vulcan defines isActive and feature.</t>
  </si>
  <si>
    <t xml:space="preserve">Describe the actual FX9600 Gen2X status without copying BLE or unverified feature names.</t>
  </si>
  <si>
    <t xml:space="preserve">Add impinjGen2X to the Starfish normal response branch after capturing its field names and enum values.</t>
  </si>
  <si>
    <t xml:space="preserve">Does FX9600 return impinjGen2X.isActive and feature with the same spellings/values as Vulcan? Does isActive mean configuration loaded or feature enabled?</t>
  </si>
  <si>
    <t xml:space="preserve">Field review, source 26, Excel row 32</t>
  </si>
  <si>
    <t xml:space="preserve">Repository schema and original reviewer statements; no live reader test supplied.
Source limitation: The comment resolves Gen2X/BLE only, not the entire status schema.</t>
  </si>
  <si>
    <t xml:space="preserve">Starfish: $["cpu"]["user"] -&gt; #/components/schemas/cpustats.v1/properties/user
Starfish: $["cpu"]["system"] -&gt; #/components/schemas/cpustats.v1/properties/system
Starfish: $["temperature"] -&gt; #/components/schemas/readerstats.v1/properties/temperature
Starfish: $["radioActivitiy"] -&gt; #/components/schemas/readerstats.v1/properties/radioActivitiy
Starfish: $["ntp"] -&gt; #/components/schemas/readerstats.v1/properties/ntp
Starfish: $["ntp"] -&gt; #/components/schemas/ntpstats.v1
Starfish: $["ntp"]["offset"] -&gt; #/components/schemas/ntpstats.v1/properties/offset
Starfish: $["ntp"]["reach"] -&gt; #/components/schemas/ntpstats.v1/properties/reach
Starfish: $["ntp"] -&gt; #/components/schemas/readerstats.v1/properties/ntp/oneOf/1
Starfish: $["interfaceConnectionStatus"]["data"][*]["connectionStatus"] -&gt; #/components/schemas/interfaceConnectionStatus.v1/properties/data/items/properties/connectionStatus
Starfish: $["status"] -&gt; #/components/schemas/readerupgradestatus.v1/properties/status
Starfish: $["imageDownloadProgress"] -&gt; #/components/schemas/readerupgradestatus.v1/properties/imageDownloadProgress
Starfish: $["overallUpdateProgress"] -&gt; #/components/schemas/readerupgradestatus.v1/properties/overallUpdateProgress
Starfish: $["updateProgressDetails"] -&gt; #/components/schemas/readerupgradestatus.v1/properties/updateProgressDetails
Starfish: $["updateProgressDetails"]["os"] -&gt; #/components/schemas/readerupgradestatus.v1/properties/updateProgressDetails/properties/os
Starfish: $["updateProgressDetails"]["rootFileSystem"] -&gt; #/components/schemas/readerupgradestatus.v1/properties/updateProgressDetails/properties/rootFileSystem
Starfish: $["updateProgressDetails"]["applications"] -&gt; #/components/schemas/readerupgradestatus.v1/properties/updateProgressDetails/properties/applications
Starfish: $["updateProgressDetails"]["radioFirmware"] -&gt; #/components/schemas/readerupgradestatus.v1/properties/updateProgressDetails/properties/radioFirmware
Starfish: $["updateProgressDetails"]["platform"] -&gt; #/components/schemas/readerupgradestatus.v1/properties/updateProgressDetails/properties/platform
Vulcan: $["cpu"]["system"] -&gt; #/components/schemas/GetStatusResponse/properties/cpu/properties/system
Vulcan: $["cpu"]["user"] -&gt; #/components/schemas/GetStatusResponse/properties/cpu/properties/user
Vulcan: $["interfaceConnectionStatus"]["data"][*]["connectionStatus"] -&gt; #/components/schemas/GetStatusResponse/properties/interfaceConnectionStatus/properties/data/items/properties/connectionStatus
Vulcan: $["ntp"] -&gt; #/components/schemas/GetStatusResponse/properties/ntp
Vulcan: $["ntp"]["offset"] -&gt; #/components/schemas/GetStatusResponse/properties/ntp/properties/offset
Vulcan: $["ntp"]["reach"] -&gt; #/components/schemas/GetStatusResponse/properties/ntp/properties/reach
Vulcan: $["radioActivity"] -&gt; #/components/schemas/GetStatusResponse/properties/radioActivity
Vulcan: $["temperature"] -&gt; #/components/schemas/GetStatusResponse/properties/temperature</t>
  </si>
  <si>
    <t xml:space="preserve">Schema: $/oneOf[0].cpu.user: type="integer"; $/oneOf[0].cpu.system: type="integer"; $/oneOf[0].temperature: type="integer"; format="int32"; $/oneOf[0].radioActivitiy: type="string"; enum=["active","inactive","unknown"]; $/oneOf[0].ntp: type/constraints not specified here; $/oneOf[0].ntp/oneOf[0]: type="object"; required=["offset","reach"]; $/oneOf[0].ntp/oneOf[0].offset: type="number"; format="float"; $/oneOf[0].ntp/oneOf[0].reach: type="integer"; $/oneOf[0].ntp/oneOf[1]: type="string"; enum=["NOT_CONFIGURED"]; $/oneOf[0].interfaceConnectionStatus.data[].connectionStatus: type="string"; enum=["Connected","disconnected"]; full field types and constraints in the linked walkthrough.</t>
  </si>
  <si>
    <t xml:space="preserve">Schema: $.cpu.system: type="number"; $.cpu.user: type="number"; $.interfaceConnectionStatus.data[].connectionStatus: type="string"; $.ntp: type="object"; $.ntp.offset: type="number"; $.ntp.reach: type="number"; $.radioActivity: type="string"; enum=["active","inactive"]; $.temperature: type="number"</t>
  </si>
  <si>
    <t xml:space="preserve">Starfish spells radioActivitiy, permits unknown, uses ntp object or NOT_CONFIGURED, and has a separate firmware-progress response branch. Vulcan spells radioActivity, has object-only ntp, and lacks the upgrade branch. Gen2X/BLE comments do not resolve these differences.</t>
  </si>
  <si>
    <t xml:space="preserve">Match actual status responses during normal operation, no NTP and firmware upgrade; retain intentional platform variants.</t>
  </si>
  <si>
    <t xml:space="preserve">Capture these states on both platforms before correcting names or broadening schemas. Check numeric constraints and connection-status case too.</t>
  </si>
  <si>
    <t xml:space="preserve">Which spelling is actually emitted by FX9600: radioActivitiy or radioActivity? How does FXR represent unconfigured NTP and upgrade progress? Are unknown and Connected/disconnected case variants real wire values?</t>
  </si>
  <si>
    <t xml:space="preserve">Starfish: $ -&gt; #/components/schemas/SupportedRegionStandard_command
Starfish: $["region"] -&gt; #/components/schemas/SupportedRegionStandard_command/properties/region
Vulcan: query region -&gt; #/paths/~1cloud~1supportedStandardList/get/parameters/0</t>
  </si>
  <si>
    <t xml:space="preserve">Schema: $: type="object"; $.region: type="string"; enum=["Argentina"]</t>
  </si>
  <si>
    <t xml:space="preserve">Schema: query region</t>
  </si>
  <si>
    <t xml:space="preserve">Starfish GET uses optional JSON body region with enum [Argentina]. Vulcan uses optional query region:string and links the supported-region list. The current sources establish a real location difference.</t>
  </si>
  <si>
    <t xml:space="preserve">Preserve the accepted parameter location and actual allowed country set per platform.</t>
  </si>
  <si>
    <t xml:space="preserve">Obtain the missing Kamali review and FX9600 requests for multiple countries. Correct an example-as-enum error only if confirmed.</t>
  </si>
  <si>
    <t xml:space="preserve">Does FX9600 require region in the GET JSON body while FXR accepts it in query? Is Argentina the only allowed value or an incorrectly constrained example? What happens when region is omitted?</t>
  </si>
  <si>
    <t xml:space="preserve">Field review, source 27, Excel row 33</t>
  </si>
  <si>
    <t xml:space="preserve">Starfish: $["SupportedStandards"] -&gt; #/components/schemas/SupportedStandardList_response/properties/SupportedStandards
Starfish: $["SupportedStandards"][*] -&gt; #/components/schemas/SupportedStandardList_response/properties/SupportedStandards/items
Starfish: $["SupportedStandards"][*]["StandardName"] -&gt; #/components/schemas/SupportedStandardList_response/properties/SupportedStandards/items/properties/StandardName
Starfish: $["SupportedStandards"][*]["isLBTConfigurable"] -&gt; #/components/schemas/SupportedStandardList_response/properties/SupportedStandards/items/properties/isLBTConfigurable
Starfish: $["SupportedStandards"][*]["channelData"] -&gt; #/components/schemas/SupportedStandardList_response/properties/SupportedStandards/items/properties/channelData
Starfish: $["SupportedStandards"][*]["channelData"][*] -&gt; #/components/schemas/SupportedStandardList_response/properties/SupportedStandards/items/properties/channelData/items
Starfish: $["SupportedStandards"][*]["isHoppingConfigurable"] -&gt; #/components/schemas/SupportedStandardList_response/properties/SupportedStandards/items/properties/isHoppingConfigurable
Vulcan: $["SupportedStandards"] -&gt; #/components/schemas/GetSupportedstandardlistResponse/properties/SupportedStandards
Vulcan: $["SupportedStandards"][*] -&gt; #/components/schemas/GetSupportedstandardlistResponse/properties/SupportedStandards/items
Vulcan: $["SupportedStandards"][*]["StandardName"] -&gt; #/components/schemas/GetSupportedstandardlistResponse/properties/SupportedStandards/items/properties/StandardName
Vulcan: $["SupportedStandards"][*]["channeldata"] -&gt; #/components/schemas/GetSupportedstandardlistResponse/properties/SupportedStandards/items/properties/channeldata
Vulcan: $["SupportedStandards"][*]["channeldata"][*] -&gt; #/components/schemas/GetSupportedstandardlistResponse/properties/SupportedStandards/items/properties/channeldata/items
Vulcan: $["SupportedStandards"][*]["isChannelSelectable"] -&gt; #/components/schemas/GetSupportedstandardlistResponse/properties/SupportedStandards/items/properties/isChannelSelectable
Vulcan: $["SupportedStandards"][*]["isHoppingConfigurable"] -&gt; #/components/schemas/GetSupportedstandardlistResponse/properties/SupportedStandards/items/properties/isHoppingConfigurable
Vulcan: $["SupportedStandards"][*]["isLBTConfigurable"] -&gt; #/components/schemas/GetSupportedstandardlistResponse/properties/SupportedStandards/items/properties/isLBTConfigurable</t>
  </si>
  <si>
    <t xml:space="preserve">Schema: $.SupportedStandards: type="array"; $.SupportedStandards[]: type="object"; $.SupportedStandards[].StandardName: type="string"; default="UNDEFINED"; $.SupportedStandards[].isLBTConfigurable: type="boolean"; default=false; $.SupportedStandards[].channelData: type="array"; $.SupportedStandards[].channelData[]: type="number"; $.SupportedStandards[].isHoppingConfigurable: type="boolean"; default=false</t>
  </si>
  <si>
    <t xml:space="preserve">Schema: $.SupportedStandards: type="array"; $.SupportedStandards[]: type="object"; $.SupportedStandards[].StandardName: type="string"; $.SupportedStandards[].channeldata: type="array"; $.SupportedStandards[].channeldata[]: type="string"; $.SupportedStandards[].isChannelSelectable: type="string"; enum=["true","false"]; $.SupportedStandards[].isHoppingConfigurable: type="string"; enum=["true","false"]; $.SupportedStandards[].isLBTConfigurable: type="string"; enum=["true","false"]</t>
  </si>
  <si>
    <t xml:space="preserve">Starfish uses channelData:number[] and booleans. Vulcan uses channeldata:string[], string enums "true"/"false" for configurability and adds isChannelSelectable. The difference goes beyond field presence.</t>
  </si>
  <si>
    <t xml:space="preserve">Document exact key case, element types and JSON boolean-versus-string values for each model.</t>
  </si>
  <si>
    <t xml:space="preserve">Capture both responses and align schemas to the wire. Do not automatically normalize names or coerce JSON types in firmware.</t>
  </si>
  <si>
    <t xml:space="preserve">Are FXR isLBTConfigurable/isHoppingConfigurable/isChannelSelectable strings, and are channeldata values strings? Does FX9600 omit isChannelSelectable and use numeric channelData with booleans?</t>
  </si>
  <si>
    <t xml:space="preserve">Field review, source 28, Excel row 34</t>
  </si>
  <si>
    <t xml:space="preserve">Unified endpoint review</t>
  </si>
  <si>
    <t xml:space="preserve">Sources: user-pasted “Starfish review – page 1” and “FXR series Kamali”. Reviewer wording is retained in separate columns.</t>
  </si>
  <si>
    <t xml:space="preserve">32 rows. Kamali row 32 is truncated. Review status/actions are proposed consolidation, not firmware verification. Final decision is left blank.</t>
  </si>
  <si>
    <t xml:space="preserve">Source row</t>
  </si>
  <si>
    <t xml:space="preserve">Endpoint (as supplied)</t>
  </si>
  <si>
    <t xml:space="preserve">Original category</t>
  </si>
  <si>
    <t xml:space="preserve">Starfish comment (source)</t>
  </si>
  <si>
    <t xml:space="preserve">Kamali comment (source)</t>
  </si>
  <si>
    <t xml:space="preserve">Review status (proposed)</t>
  </si>
  <si>
    <t xml:space="preserve">Unified action (proposed)</t>
  </si>
  <si>
    <t xml:space="preserve">Clarification / source limitation</t>
  </si>
  <si>
    <t xml:space="preserve">Final decision / firmware version</t>
  </si>
  <si>
    <t xml:space="preserve">FXR 60/90 only</t>
  </si>
  <si>
    <t xml:space="preserve">Firmware confirms FX9600 does not support it.</t>
  </si>
  <si>
    <t xml:space="preserve">supported only in fxr90/60</t>
  </si>
  <si>
    <t xml:space="preserve">Agreed scope</t>
  </si>
  <si>
    <t xml:space="preserve">Keep FXR60/90-only.</t>
  </si>
  <si>
    <t xml:space="preserve">Path spelling retained from source; verify against the approved schema.</t>
  </si>
  <si>
    <t xml:space="preserve">FX9600 supports this (undocumented)</t>
  </si>
  <si>
    <t xml:space="preserve">not supported in fx9600 (local rest mapping missing ,mqtt available)</t>
  </si>
  <si>
    <t xml:space="preserve">Conflict</t>
  </si>
  <si>
    <t xml:space="preserve">Confirm FX9600 local REST mapping and firmware version before classifying as common.</t>
  </si>
  <si>
    <t xml:space="preserve">MQTT availability does not confirm local REST support.</t>
  </si>
  <si>
    <t xml:space="preserve">Confirm FX9600 support for this exact REST endpoint and firmware version.</t>
  </si>
  <si>
    <t xml:space="preserve">Gen2X fields in /start and /status do not establish support for this endpoint.</t>
  </si>
  <si>
    <t xml:space="preserve">supported in fx9600 undocumented</t>
  </si>
  <si>
    <t xml:space="preserve">Documentation update</t>
  </si>
  <si>
    <t xml:space="preserve">Classify as common and add FX9600 documentation.</t>
  </si>
  <si>
    <t xml:space="preserve">FX9600 supports this (documented) 9600 supports Delete /cloud/logs/{logType} for log types "syslog" "radioPacketLog" and Get /cloud/logs/{logType} for log types "syslog" "radioPacketLog" "RgErrorLog" "RgWarningLog" "RcLog"</t>
  </si>
  <si>
    <t xml:space="preserve">Documentation discrepancy</t>
  </si>
  <si>
    <t xml:space="preserve">Both report FX9600 support. Locate the existing parameterized log documentation and update the common reference as needed.</t>
  </si>
  <si>
    <t xml:space="preserve">Reviewers disagree on documented versus undocumented, not on support.</t>
  </si>
  <si>
    <t xml:space="preserve">FX9600 supports this (documented)</t>
  </si>
  <si>
    <t xml:space="preserve">not supported in fx9600</t>
  </si>
  <si>
    <t xml:space="preserve">Both report FX9600 support. Verify the existing documentation before adding a duplicate entry.</t>
  </si>
  <si>
    <t xml:space="preserve">FX9600 supports this internally (undocumented) API is not exposed to outside</t>
  </si>
  <si>
    <t xml:space="preserve">not supported in fx9600 (local rest mapping missing,mqtt available)</t>
  </si>
  <si>
    <t xml:space="preserve">Scope clarification</t>
  </si>
  <si>
    <t xml:space="preserve">Do not list as a public FX9600 local REST endpoint. Confirm internal/MQTT scope separately.</t>
  </si>
  <si>
    <t xml:space="preserve">Internal support and public REST availability are different.</t>
  </si>
  <si>
    <t xml:space="preserve">supported in fxr90/60</t>
  </si>
  <si>
    <t xml:space="preserve">Keep current FXR scope based on Starfish feedback; obtain explicit Kamali confirmation of FX9600 exclusion.</t>
  </si>
  <si>
    <t xml:space="preserve">Kamali confirms FXR support but does not explicitly deny FX9600 support.</t>
  </si>
  <si>
    <t xml:space="preserve">FX9600 supports this (undocumented) FX9600 currently implementation is going on</t>
  </si>
  <si>
    <t xml:space="preserve">supported in fxr90/60 .</t>
  </si>
  <si>
    <t xml:space="preserve">Pending confirmation</t>
  </si>
  <si>
    <t xml:space="preserve">Confirm whether FX9600 implementation is released and identify the firmware version.</t>
  </si>
  <si>
    <t xml:space="preserve">Starfish says both supported and implementation in progress; Kamali only confirms FXR support.</t>
  </si>
  <si>
    <t xml:space="preserve">supported only in fxr60</t>
  </si>
  <si>
    <t xml:space="preserve">Model scope update</t>
  </si>
  <si>
    <t xml:space="preserve">Mark FXR60-only, not FXR60/90.</t>
  </si>
  <si>
    <t xml:space="preserve">firmware confirms FX9600 does not support it.</t>
  </si>
  <si>
    <t xml:space="preserve">FX9600 only</t>
  </si>
  <si>
    <t xml:space="preserve">Confirm if FXR supports this (undocumented), or firmware confirms FXR does not support it.</t>
  </si>
  <si>
    <t xml:space="preserve">I don’t think this is a valid command</t>
  </si>
  <si>
    <t xml:space="preserve">Confirm FXR DELETE support for each allowed logType and reconcile with concrete log paths.</t>
  </si>
  <si>
    <t xml:space="preserve">{logType} is a path placeholder. Starfish row 11 lists syslog and radioPacketLog for DELETE.</t>
  </si>
  <si>
    <t xml:space="preserve">is this the same as /cloud/logs (we have GET and PUT for this) .supported by all platforms</t>
  </si>
  <si>
    <t xml:space="preserve">Confirm allowed FXR logType values; distinguish GET /cloud/logs/{logType} from GET/PUT /cloud/logs.</t>
  </si>
  <si>
    <t xml:space="preserve">A parameterized path describes concrete URLs; /cloud/logs is not automatically equivalent.</t>
  </si>
  <si>
    <t xml:space="preserve">currently not supported in fxr90/60</t>
  </si>
  <si>
    <t xml:space="preserve">Keep FX9600-only based on Kamali feedback.</t>
  </si>
  <si>
    <t xml:space="preserve">cu</t>
  </si>
  <si>
    <t xml:space="preserve">Incomplete source</t>
  </si>
  <si>
    <t xml:space="preserve">Request the remainder of Kamali’s comment. Do not infer PUT support from GET.</t>
  </si>
  <si>
    <t xml:space="preserve">Kamali source ends at “cu”.</t>
  </si>
  <si>
    <t xml:space="preserve">Original workbook source (commit pinned)</t>
  </si>
  <si>
    <t xml:space="preserve">https://github.com/immanuel2504/Fxr-unification/blob/6a4d78d3f0caba6659d193cb5b3d649be48ac60c/Unified_FXR_Starfish_Review.xlsx</t>
  </si>
  <si>
    <t xml:space="preserve">Unified field review</t>
  </si>
  <si>
    <t xml:space="preserve">Sources: user-pasted Starfish field review and “Field issues FXR series-Kamali”. Why/Needed/Fix preserve source column labels even where answers are misaligned.</t>
  </si>
  <si>
    <t xml:space="preserve">28 rows. Kamali row 16 is truncated; rows 17–28 were not supplied. Issue summaries/actions are authored consolidation; reviewer comments remain separate.</t>
  </si>
  <si>
    <t xml:space="preserve">Side</t>
  </si>
  <si>
    <t xml:space="preserve">Original field status</t>
  </si>
  <si>
    <t xml:space="preserve">Original issue (summary)</t>
  </si>
  <si>
    <t xml:space="preserve">Starfish comments (source)</t>
  </si>
  <si>
    <t xml:space="preserve">Kamali comments (source)</t>
  </si>
  <si>
    <t xml:space="preserve">Kamali coverage</t>
  </si>
  <si>
    <t xml:space="preserve">Detail references (supplied; not opened)</t>
  </si>
  <si>
    <t xml:space="preserve">RESPONSE</t>
  </si>
  <si>
    <t xml:space="preserve">DIFF</t>
  </si>
  <si>
    <t xml:space="preserve">Response status field differs in the compared schemas.</t>
  </si>
  <si>
    <t xml:space="preserve">Why: Incorrect in documentation
Needed: yes
Fix: Same as vulcan.</t>
  </si>
  <si>
    <t xml:space="preserve">Why: both starfish and vulcan are returning status
Needed: no change is needed..check if schema is properly updated .</t>
  </si>
  <si>
    <t xml:space="preserve">Check both response schemas and add status where missing. No firmware change is indicated.</t>
  </si>
  <si>
    <t xml:space="preserve">Provided</t>
  </si>
  <si>
    <t xml:space="preserve">api_field_details/GET_cloud_app-led.md</t>
  </si>
  <si>
    <t xml:space="preserve">REQUEST</t>
  </si>
  <si>
    <t xml:space="preserve">color, flash and seconds are documented in the FXR body but as Starfish query parameters.</t>
  </si>
  <si>
    <t xml:space="preserve">Why: Incorrect in documentation
Needed: yes
Fix: Same as vulcan. The parameters are intended to be part of the body</t>
  </si>
  <si>
    <t xml:space="preserve">Why: If color,flash,seconds are provided in json body the command works in starfish..
Needed: may need a schema update in starfish..or need to check if both json body and query params need to be supported in vulcan</t>
  </si>
  <si>
    <t xml:space="preserve">Document the working Starfish JSON body. Confirm any query-parameter compatibility requirement separately.</t>
  </si>
  <si>
    <t xml:space="preserve">The original claim that a body/query adapter is mandatory is not supported by these comments.</t>
  </si>
  <si>
    <t xml:space="preserve">api_field_details/PUT_cloud_app-led.md</t>
  </si>
  <si>
    <t xml:space="preserve">FXR REST body redundantly includes appname. Both use the app path plus autostart body.</t>
  </si>
  <si>
    <t xml:space="preserve">Why: yes
Needed: No changes required
Fix: All app based requests have appname + request in the url for local rest requests but have the "appname" key for mqtt type requests</t>
  </si>
  <si>
    <t xml:space="preserve">Why: appname is not required in the payload..works even when removed..needs a schema update
Needed: needs schema update</t>
  </si>
  <si>
    <t xml:space="preserve">Remove body appname from FXR REST schema/examples; retain body autostart and path appname. Preserve MQTT appname.</t>
  </si>
  <si>
    <t xml:space="preserve">Starfish “No changes required” does not remove the FXR schema action.</t>
  </si>
  <si>
    <t xml:space="preserve">api_field_details/PUT_cloud_apps_appname_autostart.md</t>
  </si>
  <si>
    <t xml:space="preserve">FXR REST body redundantly includes appname; Starfish is documented as path-only.</t>
  </si>
  <si>
    <t xml:space="preserve">Why: yes
Needed: No changes required</t>
  </si>
  <si>
    <t xml:space="preserve">Remove redundant REST appname body/schema and update examples. Retain appname in the path; keep MQTT documentation separate.</t>
  </si>
  <si>
    <t xml:space="preserve">api_field_details/PUT_cloud_apps_appname_start.md</t>
  </si>
  <si>
    <t xml:space="preserve">api_field_details/PUT_cloud_apps_appname_stop.md</t>
  </si>
  <si>
    <t xml:space="preserve">api_field_details/PUT_cloud_apps_appname_uninstall.md</t>
  </si>
  <si>
    <t xml:space="preserve">Same certificate fields, but FXR schema uses an array and Starfish a single object.</t>
  </si>
  <si>
    <t xml:space="preserve">Why: Incorrect in documentation
Needed: yes
Fix: Response must be an array of certificate obects</t>
  </si>
  <si>
    <t xml:space="preserve">Why: Both the readers are returning array of objects.may need schema updation
Needed: may need schema updation for starfish</t>
  </si>
  <si>
    <t xml:space="preserve">Update Starfish schema and examples to an array of certificate objects.</t>
  </si>
  <si>
    <t xml:space="preserve">Both reviews identify an array response; do not retain the original single-object client workaround.</t>
  </si>
  <si>
    <t xml:space="preserve">api_field_details/GET_cloud_certificates.md</t>
  </si>
  <si>
    <t xml:space="preserve">Original comparison places type in the FXR query and Starfish JSON body.</t>
  </si>
  <si>
    <t xml:space="preserve">Why: 9600 supports both "certname" as the path parameter and as a body parameter
Needed: yes
Fix: No changes required</t>
  </si>
  <si>
    <t xml:space="preserve">Why: the command accepts json body in both readers..may need schema update
Needed: may need schema updation .</t>
  </si>
  <si>
    <t xml:space="preserve">Align the FXR schema with confirmed JSON-body support. Verify the exact type field contract and any query compatibility before finalising.</t>
  </si>
  <si>
    <t xml:space="preserve">Starfish comment discusses certname, not type. Retain that distinction; do not infer optional or required fields.</t>
  </si>
  <si>
    <t xml:space="preserve">api_field_details/DELETE_cloud_certificates_certname.md</t>
  </si>
  <si>
    <t xml:space="preserve">Network payload shapes and available interfaces differ; original field lists mix flat and nested structures.</t>
  </si>
  <si>
    <t xml:space="preserve">Why: in FX9600 its wrongly documented for localrest it does not support setting eth, mlan network interface FX9600 supports only following field in the payload hostname, ipAddress, gatewayAddress, subnetMask, dnsAddress, dhcp, macAddress
Needed: yes
Fix: set network in FX9600 is yet to implement for setting ETH, MLAN like Vulcan</t>
  </si>
  <si>
    <t xml:space="preserve">Why: vulcan supports ethernet/wifi/bluetooth and wan.
Needed: yes it is needed since hardware is different between vulcan and starfish response and payload will be different.</t>
  </si>
  <si>
    <t xml:space="preserve">Platform difference</t>
  </si>
  <si>
    <t xml:space="preserve">Document FX9600’s current flat payload and FXR’s supported interface payloads separately. Do not document planned FX9600 settings as released.</t>
  </si>
  <si>
    <t xml:space="preserve">Verify exact key spelling (hostname/hostName and macAddress) against firmware.</t>
  </si>
  <si>
    <t xml:space="preserve">api_field_details/PUT_cloud_network.md</t>
  </si>
  <si>
    <t xml:space="preserve">FXR scanType selects scanning type; Starfish accepts no stop payload.</t>
  </si>
  <si>
    <t xml:space="preserve">Why: FX9600 doest not accept payload for stop
Needed: yes
Fix: No changes required</t>
  </si>
  <si>
    <t xml:space="preserve">Why: support for ble added in vulcan.so scanType field added
Needed: yes this is needed</t>
  </si>
  <si>
    <t xml:space="preserve">Keep FXR scanType and document FX9600 stop without a body.</t>
  </si>
  <si>
    <t xml:space="preserve">api_field_details/PUT_cloud_stop.md</t>
  </si>
  <si>
    <t xml:space="preserve">PARTIAL</t>
  </si>
  <si>
    <t xml:space="preserve">Retry/backoff, headers, certificate and timeout fields differ between schemas.</t>
  </si>
  <si>
    <t xml:space="preserve">Why: FX9600 has backoff policy to support resonate
Needed: yes
Fix: No changes required</t>
  </si>
  <si>
    <t xml:space="preserve">Why: These have been added in starfish for resonate. We will be supporting this in Q3.
Needed: will be supported from Q4</t>
  </si>
  <si>
    <t xml:space="preserve">Release conflict</t>
  </si>
  <si>
    <t xml:space="preserve">Confirm Q3 versus Q4, year and firmware version. Retain device/version-specific retry and timeout schemas until release.</t>
  </si>
  <si>
    <t xml:space="preserve">Kamali gives two different release quarters.</t>
  </si>
  <si>
    <t xml:space="preserve">api_field_details/PUT_cloud_apps_install.md</t>
  </si>
  <si>
    <t xml:space="preserve">command is documented as an FXR object {message} versus Starfish string; userapp is shared.</t>
  </si>
  <si>
    <t xml:space="preserve">Why: code supports both object and string.needs schema update
Needed: needs schema update to specify either object or string</t>
  </si>
  <si>
    <t xml:space="preserve">Update the FXR command schema to allow string or object. Confirm Starfish object support before applying the same union to both.</t>
  </si>
  <si>
    <t xml:space="preserve">Kamali’s FXR review does not explicitly establish both forms on Starfish. Object properties and REST userapp requirement still need confirmation.</t>
  </si>
  <si>
    <t xml:space="preserve">api_field_details/PUT_cloud_apps_appname_pass-through.md</t>
  </si>
  <si>
    <t xml:space="preserve">Nested endpointConfig fields differ: enableLocalRest/dataAck versus basicAuthentication, additionalOptions, retain/ALPN and security variants.</t>
  </si>
  <si>
    <t xml:space="preserve">Why: yes
Needed: FX9600 requires firmware changes to match FX90</t>
  </si>
  <si>
    <t xml:space="preserve">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missing fields.</t>
  </si>
  <si>
    <t xml:space="preserve">Update FXR missing supported fields, remove enableLocalRest and retain dataAck per Kamali. Ask Starfish to identify the exact firmware gaps and target version.</t>
  </si>
  <si>
    <t xml:space="preserve">Comments concern opposite directions of compatibility; do not assume complete parity or a direct contradiction without a field-level list.</t>
  </si>
  <si>
    <t xml:space="preserve">api_field_details/PUT_cloud_cloudConfig.md</t>
  </si>
  <si>
    <t xml:space="preserve">Schemas differ in xml, GPIO-LED detail and nested READER-GATEWAY fields.</t>
  </si>
  <si>
    <t xml:space="preserve">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fields like xml,GPIO LED ,enableLocalRest</t>
  </si>
  <si>
    <t xml:space="preserve">Expand the FXR response schema for supported xml/GPIO-LED fields. Remove enableLocalRest and retain dataAck per Kamali.</t>
  </si>
  <si>
    <t xml:space="preserve">Starfish’s no-change comment is not evidence that the FXR schema is complete.</t>
  </si>
  <si>
    <t xml:space="preserve">api_field_details/GET_cloud_config.md</t>
  </si>
  <si>
    <t xml:space="preserve">Original comparison lists FXR GPI 3/4 events and Starfish xml/GPIDebounce plus READER-GATEWAY differences.</t>
  </si>
  <si>
    <t xml:space="preserve">Why: All fields supported in starfish are supported in vulcan..may need schema update.
Needed: may need schema update</t>
  </si>
  <si>
    <t xml:space="preserve">Add missing supported fields to the FXR schema. Verify GPI event applicability for each model before using FXR-only labels.</t>
  </si>
  <si>
    <t xml:space="preserve">The reviews say FX9600 has four GPI ports; port count alone does not confirm each event name.</t>
  </si>
  <si>
    <t xml:space="preserve">api_field_details/PUT_cloud_config.md</t>
  </si>
  <si>
    <t xml:space="preserve">Original comparison says Starfish has three GPI ports; source samples are inconsistent.</t>
  </si>
  <si>
    <t xml:space="preserve">Why: response is same FX90
Needed: yes
Fix: No changes required</t>
  </si>
  <si>
    <t xml:space="preserve">Why: due to hardware difference.fxr90 has 4 gpi pins,fx7500 has only 2.fx9600 has 4
Needed: The difference is due to hardware .schema may need to be upd</t>
  </si>
  <si>
    <t xml:space="preserve">Check FX9600 schema for all four ports. Obtain the remainder of Kamali’s comment; confirm FXR60 separately.</t>
  </si>
  <si>
    <t xml:space="preserve">Both comments align for FXR90/FX9600. FX7500’s two ports must not be applied to FX9600.</t>
  </si>
  <si>
    <t xml:space="preserve">Truncated</t>
  </si>
  <si>
    <t xml:space="preserve">api_field_details/GET_cloud_gpi.md</t>
  </si>
  <si>
    <t xml:space="preserve">wordCounter/wordCount, inventoryProtocol, beams/directionality, tagMetaData and schema branch paths differ.</t>
  </si>
  <si>
    <t xml:space="preserve">Why: document is matching firmware
Needed: yes
Fix: No changes required</t>
  </si>
  <si>
    <t xml:space="preserve">Not provided in the pasted Kamali review.</t>
  </si>
  <si>
    <t xml:space="preserve">Missing Kamali review</t>
  </si>
  <si>
    <t xml:space="preserve">Obtain Kamali’s row 17 and verify substantive field/type differences. Do not discard all differences as schema expansion noise.</t>
  </si>
  <si>
    <t xml:space="preserve">Starfish’s firmware-match statement does not prove platform parity.</t>
  </si>
  <si>
    <t xml:space="preserve">Missing</t>
  </si>
  <si>
    <t xml:space="preserve">api_field_details/GET_cloud_mode.md</t>
  </si>
  <si>
    <t xml:space="preserve">Original comparison attributes DIRECTIONALITY, beams and advanced settings to FX9600; READ wordCount and tagMetaData also differ.</t>
  </si>
  <si>
    <t xml:space="preserve">Why: response of FX9600 is same as FX90 but ATR7000 has Directionality mode to support portal directionality
Needed: yes
Fix: No changes required</t>
  </si>
  <si>
    <t xml:space="preserve">Confirm PUT request support separately from response comments. Resolve ATR7000 versus FX9600 directionality scope and remaining field differences.</t>
  </si>
  <si>
    <t xml:space="preserve">The Starfish comment says response although the row concerns a request.</t>
  </si>
  <si>
    <t xml:space="preserve">api_field_details/PUT_cloud_mode.md | api_field_details/PUT_cloud_mode_FXR_tree.md | api_field_details/PUT_cloud_mode_FX9600_tree.md</t>
  </si>
  <si>
    <t xml:space="preserve">Original comparison says FXR has no body and Starfish accepts interface (all, eth0, mlan0).</t>
  </si>
  <si>
    <t xml:space="preserve">Why: FX9600 matches the FX90
Needed: yes
Fix: No changes required</t>
  </si>
  <si>
    <t xml:space="preserve">Confirm actual interface parameter location and whether either reader requires a body. Reconcile the original difference with the parity comment.</t>
  </si>
  <si>
    <t xml:space="preserve">Do not assume a GET parameter is query-only or body-only without confirmation.</t>
  </si>
  <si>
    <t xml:space="preserve">api_field_details/GET_cloud_network.md | api_field_details/GET_cloud_network_FXR_tree.md | api_field_details/GET_cloud_network_FX9600_tree.md</t>
  </si>
  <si>
    <t xml:space="preserve">Row label says PUT, but issue/file references describe GET network responses. FXR extras include bnep0, wan0 and uap0; Starfish lists oneOf shapes.</t>
  </si>
  <si>
    <t xml:space="preserve">Why: FX9600 does not support ble
Needed: yes
Fix: No changes required</t>
  </si>
  <si>
    <t xml:space="preserve">Confirm whether the method should be GET. Verify every response variant and non-BLE difference; obtain Kamali’s review.</t>
  </si>
  <si>
    <t xml:space="preserve">Original method PUT retained. BLE absence alone does not resolve WAN, hotspot or wrapper differences.</t>
  </si>
  <si>
    <t xml:space="preserve">FXR schema lists server/server1/server2 variants; FX9600 has server only.</t>
  </si>
  <si>
    <t xml:space="preserve">Why: FX9600 has only one field server
Needed: yes
Fix: No changes required</t>
  </si>
  <si>
    <t xml:space="preserve">Retain the reported FX9600 single-server contract. Confirm FXR alternatives with Kamali.</t>
  </si>
  <si>
    <t xml:space="preserve">api_field_details/PUT_cloud_ntpServer.md</t>
  </si>
  <si>
    <t xml:space="preserve">Retry/backoff and timeout structures differ, along with transfer_protocol and certificate-related fields.</t>
  </si>
  <si>
    <t xml:space="preserve">Preserve Starfish retry/backoff contract. Obtain FXR OS-specific support and release confirmation; do not automatically apply row 11’s timing.</t>
  </si>
  <si>
    <t xml:space="preserve">api_field_details/PUT_cloud_os.md</t>
  </si>
  <si>
    <t xml:space="preserve">apiSupported.versions array/object; appLEDColors/appLedColors; antenna enum case; WAN/SIM and other capabilities differ.</t>
  </si>
  <si>
    <t xml:space="preserve">Why: FX9600 document matches the firmware
Needed: yes
Fix: No changes required</t>
  </si>
  <si>
    <t xml:space="preserve">Retain reported Starfish wire names and shapes. Verify FXR differences with Kamali and document model applicability.</t>
  </si>
  <si>
    <t xml:space="preserve">Real array/object and case differences must not be dismissed as schema noise.</t>
  </si>
  <si>
    <t xml:space="preserve">api_field_details/GET_cloud_readerCapabilities.md | api_field_details/GET_cloud_readerCapabilities_FXR_tree.md | api_field_details/GET_cloud_readerCapabilities_FX9600_tree.md</t>
  </si>
  <si>
    <t xml:space="preserve">FXR-only samples include FrequencyHopping and country; common region and power fields are listed.</t>
  </si>
  <si>
    <t xml:space="preserve">Why: FX9600 document is matching firmware
Needed: yes
Fix: No changes required</t>
  </si>
  <si>
    <t xml:space="preserve">Retain Starfish schema pending paired review. Confirm actual FXR-only fields.</t>
  </si>
  <si>
    <t xml:space="preserve">api_field_details/GET_cloud_region.md</t>
  </si>
  <si>
    <t xml:space="preserve">Original comparison calls applyImpinjGen2X and scanType FXR-only; Starfish feedback corrects Gen2X support.</t>
  </si>
  <si>
    <t xml:space="preserve">Why: FX9600 has applyImpinjGen2X in payload and does not have scanType, documentation needs to be updated for applyImpinjGen2X for FX9600
Needed: yes
Fix: No changes required</t>
  </si>
  <si>
    <t xml:space="preserve">Add applyImpinjGen2X to Starfish schema/examples based on its review; do not add scanType. Obtain Kamali’s row 25.</t>
  </si>
  <si>
    <t xml:space="preserve">Starfish “No changes required” conflicts with its own explicit documentation-update comment. Endpoint Gen2X support remains a separate question.</t>
  </si>
  <si>
    <t xml:space="preserve">api_field_details/PUT_cloud_start.md</t>
  </si>
  <si>
    <t xml:space="preserve">Original differences include ble/impinjGen2X, update-progress fields, ntp variants, radioActivitiy spelling and numeric/enum constraints.</t>
  </si>
  <si>
    <t xml:space="preserve">Why: FX9600 reports impinjGen2X in status but not ble
Needed: yes
Fix: FX9600 documetation needs to be updated</t>
  </si>
  <si>
    <t xml:space="preserve">Add Starfish impinjGen2X status documentation, exclude ble, and verify all remaining shape/name differences. Obtain Kamali’s review.</t>
  </si>
  <si>
    <t xml:space="preserve">The comment resolves Gen2X/BLE only, not the entire status schema.</t>
  </si>
  <si>
    <t xml:space="preserve">api_field_details/GET_cloud_status.md | api_field_details/GET_cloud_status_FXR_tree.md | api_field_details/GET_cloud_status_FX9600_tree.md</t>
  </si>
  <si>
    <t xml:space="preserve">region is listed as shared, but no detailed comparison file was supplied.</t>
  </si>
  <si>
    <t xml:space="preserve">Obtain Kamali’s review and clarify region parameter location and the basis for PARTIAL status.</t>
  </si>
  <si>
    <t xml:space="preserve">No api_field_details file yet (source note).</t>
  </si>
  <si>
    <t xml:space="preserve">FXR channeldata and isChannelSelectable versus Starfish channelData; other standard fields are shared.</t>
  </si>
  <si>
    <t xml:space="preserve">Retain reported Starfish key case and confirm FXR spelling and capability fields with Kamali.</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</si>
</sst>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sz val="10"/>
      <color rgb="FF182536"/>
      <name val="Arial"/>
      <family val="0"/>
      <charset val="1"/>
    </font>
    <font>
      <b val="true"/>
      <sz val="16"/>
      <color rgb="FF20334D"/>
      <name val="Arial"/>
      <family val="0"/>
      <charset val="1"/>
    </font>
    <font>
      <b val="true"/>
      <sz val="10"/>
      <color rgb="FFFFFFFF"/>
      <name val="Arial"/>
      <family val="0"/>
      <charset val="1"/>
    </font>
    <font>
      <sz val="10"/>
      <color rgb="FF1755A1"/>
      <name val="Arial"/>
      <family val="0"/>
      <charset val="1"/>
    </font>
  </fonts>
  <fills count="4">
    <fill>
      <patternFill patternType="none"/>
    </fill>
    <fill>
      <patternFill patternType="gray125"/>
    </fill>
    <fill>
      <patternFill patternType="solid">
        <fgColor rgb="FF20334D"/>
        <bgColor rgb="FF182536"/>
      </patternFill>
    </fill>
    <fill>
      <patternFill patternType="solid">
        <fgColor rgb="FFFFF3CE"/>
        <bgColor rgb="FFFFF0CD"/>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top" textRotation="0" wrapText="false" indent="0" shrinkToFit="false"/>
      <protection locked="true" hidden="false"/>
    </xf>
    <xf numFmtId="164" fontId="6" fillId="0" borderId="0" xfId="20" applyFont="true" applyBorder="true" applyAlignment="true" applyProtection="false">
      <alignment horizontal="general" vertical="top" textRotation="0" wrapText="false" indent="0" shrinkToFit="false"/>
      <protection locked="true" hidden="false"/>
    </xf>
    <xf numFmtId="164" fontId="5" fillId="0" borderId="0"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5" fillId="3"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9">
    <dxf>
      <fill>
        <patternFill patternType="solid">
          <fgColor rgb="FF20334D"/>
          <bgColor rgb="FF000000"/>
        </patternFill>
      </fill>
    </dxf>
    <dxf>
      <fill>
        <patternFill patternType="solid">
          <bgColor rgb="FF000000"/>
        </patternFill>
      </fill>
    </dxf>
    <dxf>
      <fill>
        <patternFill patternType="solid">
          <fgColor rgb="FF182536"/>
          <bgColor rgb="FF000000"/>
        </patternFill>
      </fill>
    </dxf>
    <dxf>
      <fill>
        <patternFill patternType="solid">
          <fgColor rgb="FFFFFFFF"/>
          <bgColor rgb="FF000000"/>
        </patternFill>
      </fill>
    </dxf>
    <dxf>
      <fill>
        <patternFill patternType="solid">
          <fgColor rgb="FFE5F2ED"/>
          <bgColor rgb="FF000000"/>
        </patternFill>
      </fill>
    </dxf>
    <dxf>
      <fill>
        <patternFill patternType="solid">
          <fgColor rgb="FFE6EFFA"/>
          <bgColor rgb="FF000000"/>
        </patternFill>
      </fill>
    </dxf>
    <dxf>
      <fill>
        <patternFill patternType="solid">
          <fgColor rgb="FFF0F2F5"/>
          <bgColor rgb="FF000000"/>
        </patternFill>
      </fill>
    </dxf>
    <dxf>
      <fill>
        <patternFill patternType="solid">
          <fgColor rgb="FFFCE3DD"/>
          <bgColor rgb="FF000000"/>
        </patternFill>
      </fill>
    </dxf>
    <dxf>
      <fill>
        <patternFill patternType="solid">
          <fgColor rgb="FFFFF0CD"/>
          <bgColor rgb="FF000000"/>
        </patternFill>
      </fill>
    </dxf>
    <dxf>
      <fill>
        <patternFill patternType="solid">
          <fgColor rgb="FF1755A1"/>
          <bgColor rgb="FF000000"/>
        </patternFill>
      </fill>
    </dxf>
    <dxf>
      <fill>
        <patternFill>
          <bgColor rgb="FFE6EFFA"/>
        </patternFill>
      </fill>
    </dxf>
    <dxf>
      <fill>
        <patternFill>
          <bgColor rgb="FFE5F2ED"/>
        </patternFill>
      </fill>
    </dxf>
    <dxf>
      <fill>
        <patternFill>
          <bgColor rgb="FFFCE3DD"/>
        </patternFill>
      </fill>
    </dxf>
    <dxf>
      <fill>
        <patternFill>
          <bgColor rgb="FFFFF0CD"/>
        </patternFill>
      </fill>
    </dxf>
    <dxf>
      <fill>
        <patternFill>
          <bgColor rgb="FFF0F2F5"/>
        </patternFill>
      </fill>
    </dxf>
    <dxf>
      <fill>
        <patternFill patternType="solid">
          <fgColor rgb="FFFFF3CE"/>
          <bgColor rgb="FF000000"/>
        </patternFill>
      </fill>
    </dxf>
    <dxf>
      <fill>
        <patternFill>
          <bgColor rgb="FFE6EFFA"/>
        </patternFill>
      </fill>
    </dxf>
    <dxf>
      <fill>
        <patternFill>
          <bgColor rgb="FFE5F2ED"/>
        </patternFill>
      </fill>
    </dxf>
    <dxf>
      <fill>
        <patternFill>
          <bgColor rgb="FFFCE3DD"/>
        </patternFill>
      </fill>
    </dxf>
    <dxf>
      <fill>
        <patternFill>
          <bgColor rgb="FFFFF0CD"/>
        </patternFill>
      </fill>
    </dxf>
    <dxf>
      <fill>
        <patternFill>
          <bgColor rgb="FFF0F2F5"/>
        </patternFill>
      </fill>
    </dxf>
    <dxf>
      <fill>
        <patternFill>
          <bgColor rgb="FFE5F2ED"/>
        </patternFill>
      </fill>
    </dxf>
    <dxf>
      <font>
        <color rgb="FF000000"/>
      </font>
      <border diagonalUp="false" diagonalDown="false">
        <left/>
        <right/>
        <top style="thin">
          <color theme="1"/>
        </top>
        <bottom style="thin">
          <color theme="1"/>
        </bottom>
        <diagonal/>
      </border>
    </dxf>
    <dxf>
      <fill>
        <patternFill>
          <bgColor theme="0" tint="-0.15"/>
        </patternFill>
      </fill>
    </dxf>
    <dxf>
      <fill>
        <patternFill>
          <bgColor theme="0" tint="-0.15"/>
        </patternFill>
      </fill>
    </dxf>
    <dxf>
      <font>
        <b val="1"/>
        <color rgb="FF000000"/>
      </font>
    </dxf>
    <dxf>
      <font>
        <b val="1"/>
        <color rgb="FF000000"/>
      </font>
    </dxf>
    <dxf>
      <font>
        <b val="1"/>
        <color rgb="FF000000"/>
      </font>
      <border diagonalUp="false" diagonalDown="false">
        <left/>
        <right/>
        <top/>
        <bottom style="thin">
          <color theme="1"/>
        </bottom>
        <diagonal/>
      </border>
    </dxf>
    <dxf>
      <font>
        <b val="1"/>
        <color rgb="FF000000"/>
      </font>
      <border diagonalUp="false" diagonalDown="false">
        <left/>
        <right/>
        <top style="thin">
          <color theme="1"/>
        </top>
        <bottom/>
        <diagonal/>
      </border>
    </dxf>
  </dxfs>
  <tableStyles count="1">
    <tableStyle count="7" name="TableStyleLight1">
      <tableStyleElement dxfId="22" type="wholeTable"/>
      <tableStyleElement dxfId="23" type="firstColumnStripe"/>
      <tableStyleElement dxfId="24" type="firstRowStripe"/>
      <tableStyleElement dxfId="25" type="lastColumn"/>
      <tableStyleElement dxfId="26" type="firstColumn"/>
      <tableStyleElement dxfId="27" type="headerRow"/>
      <tableStyleElement dxfId="28"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E"/>
      <rgbColor rgb="FFE5F2ED"/>
      <rgbColor rgb="FF660066"/>
      <rgbColor rgb="FFFF8080"/>
      <rgbColor rgb="FF1755A1"/>
      <rgbColor rgb="FFCCCCFF"/>
      <rgbColor rgb="FF000080"/>
      <rgbColor rgb="FFFF00FF"/>
      <rgbColor rgb="FFFFFF00"/>
      <rgbColor rgb="FF00FFFF"/>
      <rgbColor rgb="FF800080"/>
      <rgbColor rgb="FF800000"/>
      <rgbColor rgb="FF008080"/>
      <rgbColor rgb="FF0000FF"/>
      <rgbColor rgb="FF00CCFF"/>
      <rgbColor rgb="FFE6EFFA"/>
      <rgbColor rgb="FFF0F2F5"/>
      <rgbColor rgb="FFFFF0CD"/>
      <rgbColor rgb="FF99CCFF"/>
      <rgbColor rgb="FFFF99CC"/>
      <rgbColor rgb="FFCC99FF"/>
      <rgbColor rgb="FFFCE3DD"/>
      <rgbColor rgb="FF3366FF"/>
      <rgbColor rgb="FF33CCCC"/>
      <rgbColor rgb="FF99CC00"/>
      <rgbColor rgb="FFFFCC00"/>
      <rgbColor rgb="FFFF9900"/>
      <rgbColor rgb="FFFF6600"/>
      <rgbColor rgb="FF666699"/>
      <rgbColor rgb="FF969696"/>
      <rgbColor rgb="FF182536"/>
      <rgbColor rgb="FF339966"/>
      <rgbColor rgb="FF003300"/>
      <rgbColor rgb="FF333300"/>
      <rgbColor rgb="FF993300"/>
      <rgbColor rgb="FF993366"/>
      <rgbColor rgb="FF333399"/>
      <rgbColor rgb="FF2033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APIReviewFindings" displayName="APIReviewFindings" ref="A7:S85" headerRowCount="1" totalsRowCount="0" totalsRowShown="0">
  <tableColumns count="19">
    <tableColumn id="1" name="Issue ID"/>
    <tableColumn id="2" name="Original Comment"/>
    <tableColumn id="3" name="API Endpoint"/>
    <tableColumn id="4" name="HTTP Method"/>
    <tableColumn id="5" name="Platform"/>
    <tableColumn id="6" name="Schema Path"/>
    <tableColumn id="7" name="Starfish Behavior"/>
    <tableColumn id="8" name="Vulcan Behavior"/>
    <tableColumn id="9" name="Identified Difference"/>
    <tableColumn id="10" name="Expected Behavior"/>
    <tableColumn id="11" name="Change Type"/>
    <tableColumn id="12" name="Required Action"/>
    <tableColumn id="13" name="Developer Question"/>
    <tableColumn id="14" name="Developer Confirmation"/>
    <tableColumn id="15" name="Status"/>
    <tableColumn id="16" name="Source Reference"/>
    <tableColumn id="17" name="Developer Walkthrough"/>
    <tableColumn id="18" name="Finding"/>
    <tableColumn id="19" name="Evidence / Limitations"/>
  </tableColumns>
  <tableStyleInfo name="TableStyleLight1" showFirstColumn="0" showLastColumn="0" showRowStripes="1" showColumnStripes="0"/>
</table>
</file>

<file path=xl/tables/table2.xml><?xml version="1.0" encoding="utf-8"?>
<table xmlns="http://schemas.openxmlformats.org/spreadsheetml/2006/main" id="2" name="MeetingNavigation" displayName="MeetingNavigation" ref="A12:H90" headerRowCount="1" totalsRowCount="0" totalsRowShown="0">
  <tableColumns count="8">
    <tableColumn id="1" name="Issue ID"/>
    <tableColumn id="2" name="API Endpoint"/>
    <tableColumn id="3" name="Method"/>
    <tableColumn id="4" name="Change Type"/>
    <tableColumn id="5" name="Status"/>
    <tableColumn id="6" name="Finding"/>
    <tableColumn id="7" name="Tracker row"/>
    <tableColumn id="8" name="Walkthrough"/>
  </tableColumns>
  <tableStyleInfo name="TableStyleLight1" showFirstColumn="0" showLastColumn="0" showRowStripes="1" showColumnStripes="0"/>
</table>
</file>

<file path=xl/tables/table3.xml><?xml version="1.0" encoding="utf-8"?>
<table xmlns="http://schemas.openxmlformats.org/spreadsheetml/2006/main" id="3" name="OriginalEndpointFeedback" displayName="OriginalEndpointFeedback" ref="A6:J38" headerRowCount="1" totalsRowCount="0" totalsRowShown="0">
  <tableColumns count="10">
    <tableColumn id="1" name="Source row"/>
    <tableColumn id="2" name="Method"/>
    <tableColumn id="3" name="Endpoint (as supplied)"/>
    <tableColumn id="4" name="Original category"/>
    <tableColumn id="5" name="Starfish comment (source)"/>
    <tableColumn id="6" name="Kamali comment (source)"/>
    <tableColumn id="7" name="Review status (proposed)"/>
    <tableColumn id="8" name="Unified action (proposed)"/>
    <tableColumn id="9" name="Clarification / source limitation"/>
    <tableColumn id="10" name="Final decision / firmware version"/>
  </tableColumns>
  <tableStyleInfo name="TableStyleLight1" showFirstColumn="0" showLastColumn="0" showRowStripes="1" showColumnStripes="0"/>
</table>
</file>

<file path=xl/tables/table4.xml><?xml version="1.0" encoding="utf-8"?>
<table xmlns="http://schemas.openxmlformats.org/spreadsheetml/2006/main" id="4" name="OriginalFieldFeedback" displayName="OriginalFieldFeedback" ref="A6:N34" headerRowCount="1" totalsRowCount="0" totalsRowShown="0">
  <tableColumns count="14">
    <tableColumn id="1" name="Source row"/>
    <tableColumn id="2" name="Method"/>
    <tableColumn id="3" name="Endpoint (as supplied)"/>
    <tableColumn id="4" name="Side"/>
    <tableColumn id="5" name="Original field status"/>
    <tableColumn id="6" name="Original issue (summary)"/>
    <tableColumn id="7" name="Starfish comments (source)"/>
    <tableColumn id="8" name="Kamali comments (source)"/>
    <tableColumn id="9" name="Review status (proposed)"/>
    <tableColumn id="10" name="Unified action (proposed)"/>
    <tableColumn id="11" name="Clarification / source limitation"/>
    <tableColumn id="12" name="Kamali coverage"/>
    <tableColumn id="13" name="Detail references (supplied; not opened)"/>
    <tableColumn id="14" name="Final decision / firmware version"/>
  </tableColumns>
  <tableStyleInfo name="TableStyleLight1"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34D"/>
    <pageSetUpPr fitToPage="false"/>
  </sheetPr>
  <dimension ref="A1:H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3" min="3" style="0" width="12"/>
    <col collapsed="false" customWidth="true" hidden="false" outlineLevel="0" max="4" min="4" style="0" width="28"/>
    <col collapsed="false" customWidth="true" hidden="false" outlineLevel="0" max="5" min="5" style="0" width="16"/>
    <col collapsed="false" customWidth="true" hidden="false" outlineLevel="0" max="6" min="6" style="0" width="68"/>
    <col collapsed="false" customWidth="true" hidden="false" outlineLevel="0" max="8" min="7" style="0" width="24"/>
  </cols>
  <sheetData>
    <row r="1" customFormat="false" ht="15" hidden="false" customHeight="false" outlineLevel="0" collapsed="false">
      <c r="A1" s="1"/>
      <c r="B1" s="1"/>
      <c r="C1" s="1"/>
      <c r="D1" s="1"/>
      <c r="E1" s="1"/>
      <c r="F1" s="1"/>
      <c r="G1" s="1"/>
      <c r="H1" s="1"/>
    </row>
    <row r="2" customFormat="false" ht="26" hidden="false" customHeight="true" outlineLevel="0" collapsed="false">
      <c r="A2" s="2" t="s">
        <v>0</v>
      </c>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1" t="s">
        <v>1</v>
      </c>
      <c r="B4" s="1" t="n">
        <v>60</v>
      </c>
      <c r="C4" s="1"/>
      <c r="D4" s="1" t="s">
        <v>2</v>
      </c>
      <c r="E4" s="1" t="n">
        <f aca="false">COUNTA('API tracker'!A8:A85)</f>
        <v>78</v>
      </c>
      <c r="F4" s="1"/>
      <c r="G4" s="1"/>
      <c r="H4" s="1"/>
    </row>
    <row r="5" customFormat="false" ht="15" hidden="false" customHeight="false" outlineLevel="0" collapsed="false">
      <c r="A5" s="1"/>
      <c r="B5" s="1"/>
      <c r="C5" s="1"/>
      <c r="D5" s="1"/>
      <c r="E5" s="1"/>
      <c r="F5" s="1"/>
      <c r="G5" s="1"/>
      <c r="H5" s="1"/>
    </row>
    <row r="6" customFormat="false" ht="28" hidden="false" customHeight="true" outlineLevel="0" collapsed="false">
      <c r="A6" s="1" t="s">
        <v>3</v>
      </c>
      <c r="B6" s="1" t="n">
        <f aca="false">COUNTIF('API tracker'!K8:K85,"Documentation Only")</f>
        <v>2</v>
      </c>
      <c r="C6" s="1"/>
      <c r="D6" s="1" t="s">
        <v>4</v>
      </c>
      <c r="E6" s="1"/>
      <c r="F6" s="3" t="s">
        <v>5</v>
      </c>
      <c r="G6" s="1"/>
      <c r="H6" s="1"/>
    </row>
    <row r="7" customFormat="false" ht="28" hidden="false" customHeight="true" outlineLevel="0" collapsed="false">
      <c r="A7" s="1" t="s">
        <v>6</v>
      </c>
      <c r="B7" s="1" t="n">
        <f aca="false">COUNTIF('API tracker'!K8:K85,"Schema Update")</f>
        <v>21</v>
      </c>
      <c r="C7" s="1"/>
      <c r="D7" s="1"/>
      <c r="E7" s="1"/>
      <c r="F7" s="3"/>
      <c r="G7" s="1"/>
      <c r="H7" s="1"/>
    </row>
    <row r="8" customFormat="false" ht="28" hidden="false" customHeight="true" outlineLevel="0" collapsed="false">
      <c r="A8" s="1" t="s">
        <v>7</v>
      </c>
      <c r="B8" s="1" t="n">
        <f aca="false">COUNTIF('API tracker'!K8:K85,"Firmware Change")</f>
        <v>1</v>
      </c>
      <c r="C8" s="1"/>
      <c r="D8" s="1" t="s">
        <v>8</v>
      </c>
      <c r="E8" s="1"/>
      <c r="F8" s="3" t="s">
        <v>9</v>
      </c>
      <c r="G8" s="1"/>
      <c r="H8" s="1"/>
    </row>
    <row r="9" customFormat="false" ht="28" hidden="false" customHeight="true" outlineLevel="0" collapsed="false">
      <c r="A9" s="1" t="s">
        <v>10</v>
      </c>
      <c r="B9" s="1" t="n">
        <f aca="false">COUNTIF('API tracker'!K8:K85,"Developer Clarification")</f>
        <v>35</v>
      </c>
      <c r="C9" s="1"/>
      <c r="D9" s="1"/>
      <c r="E9" s="1"/>
      <c r="F9" s="3"/>
      <c r="G9" s="1"/>
      <c r="H9" s="1"/>
    </row>
    <row r="10" customFormat="false" ht="28" hidden="false" customHeight="true" outlineLevel="0" collapsed="false">
      <c r="A10" s="1" t="s">
        <v>11</v>
      </c>
      <c r="B10" s="1" t="n">
        <f aca="false">COUNTIF('API tracker'!K8:K85,"No Change Required")</f>
        <v>19</v>
      </c>
      <c r="C10" s="1"/>
      <c r="D10" s="1" t="s">
        <v>12</v>
      </c>
      <c r="E10" s="1"/>
      <c r="F10" s="3" t="s">
        <v>13</v>
      </c>
      <c r="G10" s="1"/>
      <c r="H10" s="1"/>
    </row>
    <row r="11" customFormat="false" ht="15" hidden="false" customHeight="false" outlineLevel="0" collapsed="false">
      <c r="A11" s="1"/>
      <c r="B11" s="1"/>
      <c r="C11" s="1"/>
      <c r="D11" s="1"/>
      <c r="E11" s="1"/>
      <c r="F11" s="1"/>
      <c r="G11" s="1"/>
      <c r="H11" s="1"/>
    </row>
    <row r="12" customFormat="false" ht="32" hidden="false" customHeight="true" outlineLevel="0" collapsed="false">
      <c r="A12" s="4" t="s">
        <v>14</v>
      </c>
      <c r="B12" s="4" t="s">
        <v>15</v>
      </c>
      <c r="C12" s="4" t="s">
        <v>16</v>
      </c>
      <c r="D12" s="4" t="s">
        <v>17</v>
      </c>
      <c r="E12" s="4" t="s">
        <v>18</v>
      </c>
      <c r="F12" s="4" t="s">
        <v>19</v>
      </c>
      <c r="G12" s="4" t="s">
        <v>20</v>
      </c>
      <c r="H12" s="4" t="s">
        <v>21</v>
      </c>
    </row>
    <row r="13" customFormat="false" ht="44" hidden="false" customHeight="true" outlineLevel="0" collapsed="false">
      <c r="A13" s="3" t="s">
        <v>22</v>
      </c>
      <c r="B13" s="3" t="s">
        <v>23</v>
      </c>
      <c r="C13" s="3" t="s">
        <v>24</v>
      </c>
      <c r="D13" s="3" t="str">
        <f aca="false">'API tracker'!K8</f>
        <v>Documentation Only</v>
      </c>
      <c r="E13" s="3" t="str">
        <f aca="false">'API tracker'!O8</f>
        <v>Open</v>
      </c>
      <c r="F13" s="3" t="s">
        <v>25</v>
      </c>
      <c r="G13" s="5" t="str">
        <f aca="false">HYPERLINK("#'API tracker'!A8","Record decision")</f>
        <v>Record decision</v>
      </c>
      <c r="H13" s="5" t="str">
        <f aca="false">HYPERLINK("Firmware_Change_Review.md#e-001","Open E-001")</f>
        <v>Open E-001</v>
      </c>
    </row>
    <row r="14" customFormat="false" ht="44" hidden="false" customHeight="true" outlineLevel="0" collapsed="false">
      <c r="A14" s="3" t="s">
        <v>26</v>
      </c>
      <c r="B14" s="3" t="s">
        <v>23</v>
      </c>
      <c r="C14" s="3" t="s">
        <v>27</v>
      </c>
      <c r="D14" s="3" t="str">
        <f aca="false">'API tracker'!K9</f>
        <v>Documentation Only</v>
      </c>
      <c r="E14" s="3" t="str">
        <f aca="false">'API tracker'!O9</f>
        <v>Open</v>
      </c>
      <c r="F14" s="3" t="s">
        <v>25</v>
      </c>
      <c r="G14" s="5" t="str">
        <f aca="false">HYPERLINK("#'API tracker'!A9","Record decision")</f>
        <v>Record decision</v>
      </c>
      <c r="H14" s="5" t="str">
        <f aca="false">HYPERLINK("Firmware_Change_Review.md#e-002","Open E-002")</f>
        <v>Open E-002</v>
      </c>
    </row>
    <row r="15" customFormat="false" ht="44" hidden="false" customHeight="true" outlineLevel="0" collapsed="false">
      <c r="A15" s="3" t="s">
        <v>28</v>
      </c>
      <c r="B15" s="3" t="s">
        <v>29</v>
      </c>
      <c r="C15" s="3" t="s">
        <v>24</v>
      </c>
      <c r="D15" s="3" t="str">
        <f aca="false">'API tracker'!K10</f>
        <v>Developer Clarification</v>
      </c>
      <c r="E15" s="3" t="str">
        <f aca="false">'API tracker'!O10</f>
        <v>Open</v>
      </c>
      <c r="F15" s="3" t="s">
        <v>30</v>
      </c>
      <c r="G15" s="5" t="str">
        <f aca="false">HYPERLINK("#'API tracker'!A10","Record decision")</f>
        <v>Record decision</v>
      </c>
      <c r="H15" s="5" t="str">
        <f aca="false">HYPERLINK("Firmware_Change_Review.md#e-003","Open E-003")</f>
        <v>Open E-003</v>
      </c>
    </row>
    <row r="16" customFormat="false" ht="44" hidden="false" customHeight="true" outlineLevel="0" collapsed="false">
      <c r="A16" s="3" t="s">
        <v>31</v>
      </c>
      <c r="B16" s="3" t="s">
        <v>32</v>
      </c>
      <c r="C16" s="3" t="s">
        <v>33</v>
      </c>
      <c r="D16" s="3" t="str">
        <f aca="false">'API tracker'!K11</f>
        <v>Developer Clarification</v>
      </c>
      <c r="E16" s="3" t="str">
        <f aca="false">'API tracker'!O11</f>
        <v>Open</v>
      </c>
      <c r="F16" s="3" t="s">
        <v>30</v>
      </c>
      <c r="G16" s="5" t="str">
        <f aca="false">HYPERLINK("#'API tracker'!A11","Record decision")</f>
        <v>Record decision</v>
      </c>
      <c r="H16" s="5" t="str">
        <f aca="false">HYPERLINK("Firmware_Change_Review.md#e-004","Open E-004")</f>
        <v>Open E-004</v>
      </c>
    </row>
    <row r="17" customFormat="false" ht="44" hidden="false" customHeight="true" outlineLevel="0" collapsed="false">
      <c r="A17" s="3" t="s">
        <v>34</v>
      </c>
      <c r="B17" s="3" t="s">
        <v>32</v>
      </c>
      <c r="C17" s="3" t="s">
        <v>27</v>
      </c>
      <c r="D17" s="3" t="str">
        <f aca="false">'API tracker'!K12</f>
        <v>Developer Clarification</v>
      </c>
      <c r="E17" s="3" t="str">
        <f aca="false">'API tracker'!O12</f>
        <v>Open</v>
      </c>
      <c r="F17" s="3" t="s">
        <v>30</v>
      </c>
      <c r="G17" s="5" t="str">
        <f aca="false">HYPERLINK("#'API tracker'!A12","Record decision")</f>
        <v>Record decision</v>
      </c>
      <c r="H17" s="5" t="str">
        <f aca="false">HYPERLINK("Firmware_Change_Review.md#e-005","Open E-005")</f>
        <v>Open E-005</v>
      </c>
    </row>
    <row r="18" customFormat="false" ht="44" hidden="false" customHeight="true" outlineLevel="0" collapsed="false">
      <c r="A18" s="3" t="s">
        <v>35</v>
      </c>
      <c r="B18" s="3" t="s">
        <v>36</v>
      </c>
      <c r="C18" s="3" t="s">
        <v>24</v>
      </c>
      <c r="D18" s="3" t="str">
        <f aca="false">'API tracker'!K13</f>
        <v>Developer Clarification</v>
      </c>
      <c r="E18" s="3" t="str">
        <f aca="false">'API tracker'!O13</f>
        <v>Open</v>
      </c>
      <c r="F18" s="3" t="s">
        <v>37</v>
      </c>
      <c r="G18" s="5" t="str">
        <f aca="false">HYPERLINK("#'API tracker'!A13","Record decision")</f>
        <v>Record decision</v>
      </c>
      <c r="H18" s="5" t="str">
        <f aca="false">HYPERLINK("Firmware_Change_Review.md#e-006","Open E-006")</f>
        <v>Open E-006</v>
      </c>
    </row>
    <row r="19" customFormat="false" ht="44" hidden="false" customHeight="true" outlineLevel="0" collapsed="false">
      <c r="A19" s="3" t="s">
        <v>38</v>
      </c>
      <c r="B19" s="3" t="s">
        <v>36</v>
      </c>
      <c r="C19" s="3" t="s">
        <v>27</v>
      </c>
      <c r="D19" s="3" t="str">
        <f aca="false">'API tracker'!K14</f>
        <v>Developer Clarification</v>
      </c>
      <c r="E19" s="3" t="str">
        <f aca="false">'API tracker'!O14</f>
        <v>Open</v>
      </c>
      <c r="F19" s="3" t="s">
        <v>37</v>
      </c>
      <c r="G19" s="5" t="str">
        <f aca="false">HYPERLINK("#'API tracker'!A14","Record decision")</f>
        <v>Record decision</v>
      </c>
      <c r="H19" s="5" t="str">
        <f aca="false">HYPERLINK("Firmware_Change_Review.md#e-007","Open E-007")</f>
        <v>Open E-007</v>
      </c>
    </row>
    <row r="20" customFormat="false" ht="44" hidden="false" customHeight="true" outlineLevel="0" collapsed="false">
      <c r="A20" s="3" t="s">
        <v>39</v>
      </c>
      <c r="B20" s="3" t="s">
        <v>40</v>
      </c>
      <c r="C20" s="3" t="s">
        <v>24</v>
      </c>
      <c r="D20" s="3" t="str">
        <f aca="false">'API tracker'!K15</f>
        <v>Developer Clarification</v>
      </c>
      <c r="E20" s="3" t="str">
        <f aca="false">'API tracker'!O15</f>
        <v>Open</v>
      </c>
      <c r="F20" s="3" t="s">
        <v>41</v>
      </c>
      <c r="G20" s="5" t="str">
        <f aca="false">HYPERLINK("#'API tracker'!A15","Record decision")</f>
        <v>Record decision</v>
      </c>
      <c r="H20" s="5" t="str">
        <f aca="false">HYPERLINK("Firmware_Change_Review.md#e-008","Open E-008")</f>
        <v>Open E-008</v>
      </c>
    </row>
    <row r="21" customFormat="false" ht="44" hidden="false" customHeight="true" outlineLevel="0" collapsed="false">
      <c r="A21" s="3" t="s">
        <v>42</v>
      </c>
      <c r="B21" s="3" t="s">
        <v>40</v>
      </c>
      <c r="C21" s="3" t="s">
        <v>27</v>
      </c>
      <c r="D21" s="3" t="str">
        <f aca="false">'API tracker'!K16</f>
        <v>Developer Clarification</v>
      </c>
      <c r="E21" s="3" t="str">
        <f aca="false">'API tracker'!O16</f>
        <v>Open</v>
      </c>
      <c r="F21" s="3" t="s">
        <v>41</v>
      </c>
      <c r="G21" s="5" t="str">
        <f aca="false">HYPERLINK("#'API tracker'!A16","Record decision")</f>
        <v>Record decision</v>
      </c>
      <c r="H21" s="5" t="str">
        <f aca="false">HYPERLINK("Firmware_Change_Review.md#e-009","Open E-009")</f>
        <v>Open E-009</v>
      </c>
    </row>
    <row r="22" customFormat="false" ht="44" hidden="false" customHeight="true" outlineLevel="0" collapsed="false">
      <c r="A22" s="3" t="s">
        <v>43</v>
      </c>
      <c r="B22" s="3" t="s">
        <v>44</v>
      </c>
      <c r="C22" s="3" t="s">
        <v>24</v>
      </c>
      <c r="D22" s="3" t="str">
        <f aca="false">'API tracker'!K17</f>
        <v>Schema Update</v>
      </c>
      <c r="E22" s="3" t="str">
        <f aca="false">'API tracker'!O17</f>
        <v>Open</v>
      </c>
      <c r="F22" s="3" t="s">
        <v>45</v>
      </c>
      <c r="G22" s="5" t="str">
        <f aca="false">HYPERLINK("#'API tracker'!A17","Record decision")</f>
        <v>Record decision</v>
      </c>
      <c r="H22" s="5" t="str">
        <f aca="false">HYPERLINK("Firmware_Change_Review.md#e-010","Open E-010")</f>
        <v>Open E-010</v>
      </c>
    </row>
    <row r="23" customFormat="false" ht="44" hidden="false" customHeight="true" outlineLevel="0" collapsed="false">
      <c r="A23" s="3" t="s">
        <v>46</v>
      </c>
      <c r="B23" s="3" t="s">
        <v>47</v>
      </c>
      <c r="C23" s="3" t="s">
        <v>24</v>
      </c>
      <c r="D23" s="3" t="str">
        <f aca="false">'API tracker'!K18</f>
        <v>No Change Required</v>
      </c>
      <c r="E23" s="3" t="str">
        <f aca="false">'API tracker'!O18</f>
        <v>Resolved</v>
      </c>
      <c r="F23" s="3" t="s">
        <v>48</v>
      </c>
      <c r="G23" s="5" t="str">
        <f aca="false">HYPERLINK("#'API tracker'!A18","Record decision")</f>
        <v>Record decision</v>
      </c>
      <c r="H23" s="5" t="str">
        <f aca="false">HYPERLINK("Firmware_Change_Review.md#e-011","Open E-011")</f>
        <v>Open E-011</v>
      </c>
    </row>
    <row r="24" customFormat="false" ht="44" hidden="false" customHeight="true" outlineLevel="0" collapsed="false">
      <c r="A24" s="3" t="s">
        <v>49</v>
      </c>
      <c r="B24" s="3" t="s">
        <v>50</v>
      </c>
      <c r="C24" s="3" t="s">
        <v>24</v>
      </c>
      <c r="D24" s="3" t="str">
        <f aca="false">'API tracker'!K19</f>
        <v>No Change Required</v>
      </c>
      <c r="E24" s="3" t="str">
        <f aca="false">'API tracker'!O19</f>
        <v>Resolved</v>
      </c>
      <c r="F24" s="3" t="s">
        <v>48</v>
      </c>
      <c r="G24" s="5" t="str">
        <f aca="false">HYPERLINK("#'API tracker'!A19","Record decision")</f>
        <v>Record decision</v>
      </c>
      <c r="H24" s="5" t="str">
        <f aca="false">HYPERLINK("Firmware_Change_Review.md#e-012","Open E-012")</f>
        <v>Open E-012</v>
      </c>
    </row>
    <row r="25" customFormat="false" ht="44" hidden="false" customHeight="true" outlineLevel="0" collapsed="false">
      <c r="A25" s="3" t="s">
        <v>51</v>
      </c>
      <c r="B25" s="3" t="s">
        <v>52</v>
      </c>
      <c r="C25" s="3" t="s">
        <v>24</v>
      </c>
      <c r="D25" s="3" t="str">
        <f aca="false">'API tracker'!K20</f>
        <v>No Change Required</v>
      </c>
      <c r="E25" s="3" t="str">
        <f aca="false">'API tracker'!O20</f>
        <v>Resolved</v>
      </c>
      <c r="F25" s="3" t="s">
        <v>48</v>
      </c>
      <c r="G25" s="5" t="str">
        <f aca="false">HYPERLINK("#'API tracker'!A20","Record decision")</f>
        <v>Record decision</v>
      </c>
      <c r="H25" s="5" t="str">
        <f aca="false">HYPERLINK("Firmware_Change_Review.md#e-013","Open E-013")</f>
        <v>Open E-013</v>
      </c>
    </row>
    <row r="26" customFormat="false" ht="44" hidden="false" customHeight="true" outlineLevel="0" collapsed="false">
      <c r="A26" s="3" t="s">
        <v>53</v>
      </c>
      <c r="B26" s="3" t="s">
        <v>54</v>
      </c>
      <c r="C26" s="3" t="s">
        <v>33</v>
      </c>
      <c r="D26" s="3" t="str">
        <f aca="false">'API tracker'!K21</f>
        <v>No Change Required</v>
      </c>
      <c r="E26" s="3" t="str">
        <f aca="false">'API tracker'!O21</f>
        <v>Resolved</v>
      </c>
      <c r="F26" s="3" t="s">
        <v>48</v>
      </c>
      <c r="G26" s="5" t="str">
        <f aca="false">HYPERLINK("#'API tracker'!A21","Record decision")</f>
        <v>Record decision</v>
      </c>
      <c r="H26" s="5" t="str">
        <f aca="false">HYPERLINK("Firmware_Change_Review.md#e-014","Open E-014")</f>
        <v>Open E-014</v>
      </c>
    </row>
    <row r="27" customFormat="false" ht="44" hidden="false" customHeight="true" outlineLevel="0" collapsed="false">
      <c r="A27" s="3" t="s">
        <v>55</v>
      </c>
      <c r="B27" s="3" t="s">
        <v>54</v>
      </c>
      <c r="C27" s="3" t="s">
        <v>24</v>
      </c>
      <c r="D27" s="3" t="str">
        <f aca="false">'API tracker'!K22</f>
        <v>No Change Required</v>
      </c>
      <c r="E27" s="3" t="str">
        <f aca="false">'API tracker'!O22</f>
        <v>Resolved</v>
      </c>
      <c r="F27" s="3" t="s">
        <v>48</v>
      </c>
      <c r="G27" s="5" t="str">
        <f aca="false">HYPERLINK("#'API tracker'!A22","Record decision")</f>
        <v>Record decision</v>
      </c>
      <c r="H27" s="5" t="str">
        <f aca="false">HYPERLINK("Firmware_Change_Review.md#e-015","Open E-015")</f>
        <v>Open E-015</v>
      </c>
    </row>
    <row r="28" customFormat="false" ht="44" hidden="false" customHeight="true" outlineLevel="0" collapsed="false">
      <c r="A28" s="3" t="s">
        <v>56</v>
      </c>
      <c r="B28" s="3" t="s">
        <v>57</v>
      </c>
      <c r="C28" s="3" t="s">
        <v>33</v>
      </c>
      <c r="D28" s="3" t="str">
        <f aca="false">'API tracker'!K23</f>
        <v>No Change Required</v>
      </c>
      <c r="E28" s="3" t="str">
        <f aca="false">'API tracker'!O23</f>
        <v>Resolved</v>
      </c>
      <c r="F28" s="3" t="s">
        <v>48</v>
      </c>
      <c r="G28" s="5" t="str">
        <f aca="false">HYPERLINK("#'API tracker'!A23","Record decision")</f>
        <v>Record decision</v>
      </c>
      <c r="H28" s="5" t="str">
        <f aca="false">HYPERLINK("Firmware_Change_Review.md#e-016","Open E-016")</f>
        <v>Open E-016</v>
      </c>
    </row>
    <row r="29" customFormat="false" ht="44" hidden="false" customHeight="true" outlineLevel="0" collapsed="false">
      <c r="A29" s="3" t="s">
        <v>58</v>
      </c>
      <c r="B29" s="3" t="s">
        <v>57</v>
      </c>
      <c r="C29" s="3" t="s">
        <v>24</v>
      </c>
      <c r="D29" s="3" t="str">
        <f aca="false">'API tracker'!K24</f>
        <v>No Change Required</v>
      </c>
      <c r="E29" s="3" t="str">
        <f aca="false">'API tracker'!O24</f>
        <v>Resolved</v>
      </c>
      <c r="F29" s="3" t="s">
        <v>48</v>
      </c>
      <c r="G29" s="5" t="str">
        <f aca="false">HYPERLINK("#'API tracker'!A24","Record decision")</f>
        <v>Record decision</v>
      </c>
      <c r="H29" s="5" t="str">
        <f aca="false">HYPERLINK("Firmware_Change_Review.md#e-017","Open E-017")</f>
        <v>Open E-017</v>
      </c>
    </row>
    <row r="30" customFormat="false" ht="44" hidden="false" customHeight="true" outlineLevel="0" collapsed="false">
      <c r="A30" s="3" t="s">
        <v>59</v>
      </c>
      <c r="B30" s="3" t="s">
        <v>60</v>
      </c>
      <c r="C30" s="3" t="s">
        <v>24</v>
      </c>
      <c r="D30" s="3" t="str">
        <f aca="false">'API tracker'!K25</f>
        <v>No Change Required</v>
      </c>
      <c r="E30" s="3" t="str">
        <f aca="false">'API tracker'!O25</f>
        <v>Resolved</v>
      </c>
      <c r="F30" s="3" t="s">
        <v>61</v>
      </c>
      <c r="G30" s="5" t="str">
        <f aca="false">HYPERLINK("#'API tracker'!A25","Record decision")</f>
        <v>Record decision</v>
      </c>
      <c r="H30" s="5" t="str">
        <f aca="false">HYPERLINK("Firmware_Change_Review.md#e-018","Open E-018")</f>
        <v>Open E-018</v>
      </c>
    </row>
    <row r="31" customFormat="false" ht="44" hidden="false" customHeight="true" outlineLevel="0" collapsed="false">
      <c r="A31" s="3" t="s">
        <v>62</v>
      </c>
      <c r="B31" s="3" t="s">
        <v>63</v>
      </c>
      <c r="C31" s="3" t="s">
        <v>27</v>
      </c>
      <c r="D31" s="3" t="str">
        <f aca="false">'API tracker'!K26</f>
        <v>Schema Update</v>
      </c>
      <c r="E31" s="3" t="str">
        <f aca="false">'API tracker'!O26</f>
        <v>Open</v>
      </c>
      <c r="F31" s="3" t="s">
        <v>64</v>
      </c>
      <c r="G31" s="5" t="str">
        <f aca="false">HYPERLINK("#'API tracker'!A26","Record decision")</f>
        <v>Record decision</v>
      </c>
      <c r="H31" s="5" t="str">
        <f aca="false">HYPERLINK("Firmware_Change_Review.md#e-019","Open E-019")</f>
        <v>Open E-019</v>
      </c>
    </row>
    <row r="32" customFormat="false" ht="44" hidden="false" customHeight="true" outlineLevel="0" collapsed="false">
      <c r="A32" s="3" t="s">
        <v>65</v>
      </c>
      <c r="B32" s="3" t="s">
        <v>66</v>
      </c>
      <c r="C32" s="3" t="s">
        <v>24</v>
      </c>
      <c r="D32" s="3" t="str">
        <f aca="false">'API tracker'!K27</f>
        <v>No Change Required</v>
      </c>
      <c r="E32" s="3" t="str">
        <f aca="false">'API tracker'!O27</f>
        <v>Resolved</v>
      </c>
      <c r="F32" s="3" t="s">
        <v>61</v>
      </c>
      <c r="G32" s="5" t="str">
        <f aca="false">HYPERLINK("#'API tracker'!A27","Record decision")</f>
        <v>Record decision</v>
      </c>
      <c r="H32" s="5" t="str">
        <f aca="false">HYPERLINK("Firmware_Change_Review.md#e-020","Open E-020")</f>
        <v>Open E-020</v>
      </c>
    </row>
    <row r="33" customFormat="false" ht="44" hidden="false" customHeight="true" outlineLevel="0" collapsed="false">
      <c r="A33" s="3" t="s">
        <v>67</v>
      </c>
      <c r="B33" s="3" t="s">
        <v>66</v>
      </c>
      <c r="C33" s="3" t="s">
        <v>27</v>
      </c>
      <c r="D33" s="3" t="str">
        <f aca="false">'API tracker'!K28</f>
        <v>No Change Required</v>
      </c>
      <c r="E33" s="3" t="str">
        <f aca="false">'API tracker'!O28</f>
        <v>Resolved</v>
      </c>
      <c r="F33" s="3" t="s">
        <v>61</v>
      </c>
      <c r="G33" s="5" t="str">
        <f aca="false">HYPERLINK("#'API tracker'!A28","Record decision")</f>
        <v>Record decision</v>
      </c>
      <c r="H33" s="5" t="str">
        <f aca="false">HYPERLINK("Firmware_Change_Review.md#e-021","Open E-021")</f>
        <v>Open E-021</v>
      </c>
    </row>
    <row r="34" customFormat="false" ht="44" hidden="false" customHeight="true" outlineLevel="0" collapsed="false">
      <c r="A34" s="3" t="s">
        <v>68</v>
      </c>
      <c r="B34" s="3" t="s">
        <v>69</v>
      </c>
      <c r="C34" s="3" t="s">
        <v>24</v>
      </c>
      <c r="D34" s="3" t="str">
        <f aca="false">'API tracker'!K29</f>
        <v>Developer Clarification</v>
      </c>
      <c r="E34" s="3" t="str">
        <f aca="false">'API tracker'!O29</f>
        <v>Open</v>
      </c>
      <c r="F34" s="3" t="s">
        <v>70</v>
      </c>
      <c r="G34" s="5" t="str">
        <f aca="false">HYPERLINK("#'API tracker'!A29","Record decision")</f>
        <v>Record decision</v>
      </c>
      <c r="H34" s="5" t="str">
        <f aca="false">HYPERLINK("Firmware_Change_Review.md#e-022","Open E-022")</f>
        <v>Open E-022</v>
      </c>
    </row>
    <row r="35" customFormat="false" ht="44" hidden="false" customHeight="true" outlineLevel="0" collapsed="false">
      <c r="A35" s="3" t="s">
        <v>71</v>
      </c>
      <c r="B35" s="3" t="s">
        <v>72</v>
      </c>
      <c r="C35" s="3" t="s">
        <v>24</v>
      </c>
      <c r="D35" s="3" t="str">
        <f aca="false">'API tracker'!K30</f>
        <v>No Change Required</v>
      </c>
      <c r="E35" s="3" t="str">
        <f aca="false">'API tracker'!O30</f>
        <v>Resolved</v>
      </c>
      <c r="F35" s="3" t="s">
        <v>61</v>
      </c>
      <c r="G35" s="5" t="str">
        <f aca="false">HYPERLINK("#'API tracker'!A30","Record decision")</f>
        <v>Record decision</v>
      </c>
      <c r="H35" s="5" t="str">
        <f aca="false">HYPERLINK("Firmware_Change_Review.md#e-023","Open E-023")</f>
        <v>Open E-023</v>
      </c>
    </row>
    <row r="36" customFormat="false" ht="44" hidden="false" customHeight="true" outlineLevel="0" collapsed="false">
      <c r="A36" s="3" t="s">
        <v>73</v>
      </c>
      <c r="B36" s="3" t="s">
        <v>74</v>
      </c>
      <c r="C36" s="3" t="s">
        <v>27</v>
      </c>
      <c r="D36" s="3" t="str">
        <f aca="false">'API tracker'!K31</f>
        <v>Developer Clarification</v>
      </c>
      <c r="E36" s="3" t="str">
        <f aca="false">'API tracker'!O31</f>
        <v>Open</v>
      </c>
      <c r="F36" s="3" t="s">
        <v>75</v>
      </c>
      <c r="G36" s="5" t="str">
        <f aca="false">HYPERLINK("#'API tracker'!A31","Record decision")</f>
        <v>Record decision</v>
      </c>
      <c r="H36" s="5" t="str">
        <f aca="false">HYPERLINK("Firmware_Change_Review.md#e-024","Open E-024")</f>
        <v>Open E-024</v>
      </c>
    </row>
    <row r="37" customFormat="false" ht="44" hidden="false" customHeight="true" outlineLevel="0" collapsed="false">
      <c r="A37" s="3" t="s">
        <v>76</v>
      </c>
      <c r="B37" s="3" t="s">
        <v>77</v>
      </c>
      <c r="C37" s="3" t="s">
        <v>24</v>
      </c>
      <c r="D37" s="3" t="str">
        <f aca="false">'API tracker'!K32</f>
        <v>No Change Required</v>
      </c>
      <c r="E37" s="3" t="str">
        <f aca="false">'API tracker'!O32</f>
        <v>Resolved</v>
      </c>
      <c r="F37" s="3" t="s">
        <v>78</v>
      </c>
      <c r="G37" s="5" t="str">
        <f aca="false">HYPERLINK("#'API tracker'!A32","Record decision")</f>
        <v>Record decision</v>
      </c>
      <c r="H37" s="5" t="str">
        <f aca="false">HYPERLINK("Firmware_Change_Review.md#e-025","Open E-025")</f>
        <v>Open E-025</v>
      </c>
    </row>
    <row r="38" customFormat="false" ht="44" hidden="false" customHeight="true" outlineLevel="0" collapsed="false">
      <c r="A38" s="3" t="s">
        <v>79</v>
      </c>
      <c r="B38" s="3" t="s">
        <v>77</v>
      </c>
      <c r="C38" s="3" t="s">
        <v>27</v>
      </c>
      <c r="D38" s="3" t="str">
        <f aca="false">'API tracker'!K33</f>
        <v>No Change Required</v>
      </c>
      <c r="E38" s="3" t="str">
        <f aca="false">'API tracker'!O33</f>
        <v>Resolved</v>
      </c>
      <c r="F38" s="3" t="s">
        <v>78</v>
      </c>
      <c r="G38" s="5" t="str">
        <f aca="false">HYPERLINK("#'API tracker'!A33","Record decision")</f>
        <v>Record decision</v>
      </c>
      <c r="H38" s="5" t="str">
        <f aca="false">HYPERLINK("Firmware_Change_Review.md#e-026","Open E-026")</f>
        <v>Open E-026</v>
      </c>
    </row>
    <row r="39" customFormat="false" ht="44" hidden="false" customHeight="true" outlineLevel="0" collapsed="false">
      <c r="A39" s="3" t="s">
        <v>80</v>
      </c>
      <c r="B39" s="3" t="s">
        <v>81</v>
      </c>
      <c r="C39" s="3" t="s">
        <v>27</v>
      </c>
      <c r="D39" s="3" t="str">
        <f aca="false">'API tracker'!K34</f>
        <v>No Change Required</v>
      </c>
      <c r="E39" s="3" t="str">
        <f aca="false">'API tracker'!O34</f>
        <v>Resolved</v>
      </c>
      <c r="F39" s="3" t="s">
        <v>61</v>
      </c>
      <c r="G39" s="5" t="str">
        <f aca="false">HYPERLINK("#'API tracker'!A34","Record decision")</f>
        <v>Record decision</v>
      </c>
      <c r="H39" s="5" t="str">
        <f aca="false">HYPERLINK("Firmware_Change_Review.md#e-027","Open E-027")</f>
        <v>Open E-027</v>
      </c>
    </row>
    <row r="40" customFormat="false" ht="44" hidden="false" customHeight="true" outlineLevel="0" collapsed="false">
      <c r="A40" s="3" t="s">
        <v>82</v>
      </c>
      <c r="B40" s="3" t="s">
        <v>83</v>
      </c>
      <c r="C40" s="3" t="s">
        <v>24</v>
      </c>
      <c r="D40" s="3" t="str">
        <f aca="false">'API tracker'!K35</f>
        <v>No Change Required</v>
      </c>
      <c r="E40" s="3" t="str">
        <f aca="false">'API tracker'!O35</f>
        <v>Resolved</v>
      </c>
      <c r="F40" s="3" t="s">
        <v>61</v>
      </c>
      <c r="G40" s="5" t="str">
        <f aca="false">HYPERLINK("#'API tracker'!A35","Record decision")</f>
        <v>Record decision</v>
      </c>
      <c r="H40" s="5" t="str">
        <f aca="false">HYPERLINK("Firmware_Change_Review.md#e-028","Open E-028")</f>
        <v>Open E-028</v>
      </c>
    </row>
    <row r="41" customFormat="false" ht="44" hidden="false" customHeight="true" outlineLevel="0" collapsed="false">
      <c r="A41" s="3" t="s">
        <v>84</v>
      </c>
      <c r="B41" s="3" t="s">
        <v>85</v>
      </c>
      <c r="C41" s="3" t="s">
        <v>33</v>
      </c>
      <c r="D41" s="3" t="str">
        <f aca="false">'API tracker'!K36</f>
        <v>Developer Clarification</v>
      </c>
      <c r="E41" s="3" t="str">
        <f aca="false">'API tracker'!O36</f>
        <v>Open</v>
      </c>
      <c r="F41" s="3" t="s">
        <v>86</v>
      </c>
      <c r="G41" s="5" t="str">
        <f aca="false">HYPERLINK("#'API tracker'!A36","Record decision")</f>
        <v>Record decision</v>
      </c>
      <c r="H41" s="5" t="str">
        <f aca="false">HYPERLINK("Firmware_Change_Review.md#e-029","Open E-029")</f>
        <v>Open E-029</v>
      </c>
    </row>
    <row r="42" customFormat="false" ht="44" hidden="false" customHeight="true" outlineLevel="0" collapsed="false">
      <c r="A42" s="3" t="s">
        <v>87</v>
      </c>
      <c r="B42" s="3" t="s">
        <v>85</v>
      </c>
      <c r="C42" s="3" t="s">
        <v>24</v>
      </c>
      <c r="D42" s="3" t="str">
        <f aca="false">'API tracker'!K37</f>
        <v>Developer Clarification</v>
      </c>
      <c r="E42" s="3" t="str">
        <f aca="false">'API tracker'!O37</f>
        <v>Open</v>
      </c>
      <c r="F42" s="3" t="s">
        <v>88</v>
      </c>
      <c r="G42" s="5" t="str">
        <f aca="false">HYPERLINK("#'API tracker'!A37","Record decision")</f>
        <v>Record decision</v>
      </c>
      <c r="H42" s="5" t="str">
        <f aca="false">HYPERLINK("Firmware_Change_Review.md#e-030","Open E-030")</f>
        <v>Open E-030</v>
      </c>
    </row>
    <row r="43" customFormat="false" ht="44" hidden="false" customHeight="true" outlineLevel="0" collapsed="false">
      <c r="A43" s="3" t="s">
        <v>89</v>
      </c>
      <c r="B43" s="3" t="s">
        <v>90</v>
      </c>
      <c r="C43" s="3" t="s">
        <v>24</v>
      </c>
      <c r="D43" s="3" t="str">
        <f aca="false">'API tracker'!K38</f>
        <v>No Change Required</v>
      </c>
      <c r="E43" s="3" t="str">
        <f aca="false">'API tracker'!O38</f>
        <v>Resolved</v>
      </c>
      <c r="F43" s="3" t="s">
        <v>61</v>
      </c>
      <c r="G43" s="5" t="str">
        <f aca="false">HYPERLINK("#'API tracker'!A38","Record decision")</f>
        <v>Record decision</v>
      </c>
      <c r="H43" s="5" t="str">
        <f aca="false">HYPERLINK("Firmware_Change_Review.md#e-031","Open E-031")</f>
        <v>Open E-031</v>
      </c>
    </row>
    <row r="44" customFormat="false" ht="44" hidden="false" customHeight="true" outlineLevel="0" collapsed="false">
      <c r="A44" s="3" t="s">
        <v>91</v>
      </c>
      <c r="B44" s="3" t="s">
        <v>90</v>
      </c>
      <c r="C44" s="3" t="s">
        <v>27</v>
      </c>
      <c r="D44" s="3" t="str">
        <f aca="false">'API tracker'!K39</f>
        <v>Developer Clarification</v>
      </c>
      <c r="E44" s="3" t="str">
        <f aca="false">'API tracker'!O39</f>
        <v>Open</v>
      </c>
      <c r="F44" s="3" t="s">
        <v>92</v>
      </c>
      <c r="G44" s="5" t="str">
        <f aca="false">HYPERLINK("#'API tracker'!A39","Record decision")</f>
        <v>Record decision</v>
      </c>
      <c r="H44" s="5" t="str">
        <f aca="false">HYPERLINK("Firmware_Change_Review.md#e-032","Open E-032")</f>
        <v>Open E-032</v>
      </c>
    </row>
    <row r="45" customFormat="false" ht="44" hidden="false" customHeight="true" outlineLevel="0" collapsed="false">
      <c r="A45" s="3" t="s">
        <v>93</v>
      </c>
      <c r="B45" s="3" t="s">
        <v>94</v>
      </c>
      <c r="C45" s="3" t="s">
        <v>24</v>
      </c>
      <c r="D45" s="3" t="str">
        <f aca="false">'API tracker'!K40</f>
        <v>Schema Update</v>
      </c>
      <c r="E45" s="3" t="str">
        <f aca="false">'API tracker'!O40</f>
        <v>Open</v>
      </c>
      <c r="F45" s="3" t="s">
        <v>95</v>
      </c>
      <c r="G45" s="5" t="str">
        <f aca="false">HYPERLINK("#'API tracker'!A40","Record decision")</f>
        <v>Record decision</v>
      </c>
      <c r="H45" s="5" t="str">
        <f aca="false">HYPERLINK("Firmware_Change_Review.md#f-001","Open F-001")</f>
        <v>Open F-001</v>
      </c>
    </row>
    <row r="46" customFormat="false" ht="44" hidden="false" customHeight="true" outlineLevel="0" collapsed="false">
      <c r="A46" s="3" t="s">
        <v>96</v>
      </c>
      <c r="B46" s="3" t="s">
        <v>94</v>
      </c>
      <c r="C46" s="3" t="s">
        <v>27</v>
      </c>
      <c r="D46" s="3" t="str">
        <f aca="false">'API tracker'!K41</f>
        <v>Schema Update</v>
      </c>
      <c r="E46" s="3" t="str">
        <f aca="false">'API tracker'!O41</f>
        <v>Open</v>
      </c>
      <c r="F46" s="3" t="s">
        <v>97</v>
      </c>
      <c r="G46" s="5" t="str">
        <f aca="false">HYPERLINK("#'API tracker'!A41","Record decision")</f>
        <v>Record decision</v>
      </c>
      <c r="H46" s="5" t="str">
        <f aca="false">HYPERLINK("Firmware_Change_Review.md#f-002","Open F-002")</f>
        <v>Open F-002</v>
      </c>
    </row>
    <row r="47" customFormat="false" ht="44" hidden="false" customHeight="true" outlineLevel="0" collapsed="false">
      <c r="A47" s="3" t="s">
        <v>98</v>
      </c>
      <c r="B47" s="3" t="s">
        <v>94</v>
      </c>
      <c r="C47" s="3" t="s">
        <v>27</v>
      </c>
      <c r="D47" s="3" t="str">
        <f aca="false">'API tracker'!K42</f>
        <v>Developer Clarification</v>
      </c>
      <c r="E47" s="3" t="str">
        <f aca="false">'API tracker'!O42</f>
        <v>Open</v>
      </c>
      <c r="F47" s="3" t="s">
        <v>99</v>
      </c>
      <c r="G47" s="5" t="str">
        <f aca="false">HYPERLINK("#'API tracker'!A42","Record decision")</f>
        <v>Record decision</v>
      </c>
      <c r="H47" s="5" t="str">
        <f aca="false">HYPERLINK("Firmware_Change_Review.md#f-002a","Open F-002A")</f>
        <v>Open F-002A</v>
      </c>
    </row>
    <row r="48" customFormat="false" ht="44" hidden="false" customHeight="true" outlineLevel="0" collapsed="false">
      <c r="A48" s="3" t="s">
        <v>100</v>
      </c>
      <c r="B48" s="3" t="s">
        <v>101</v>
      </c>
      <c r="C48" s="3" t="s">
        <v>27</v>
      </c>
      <c r="D48" s="3" t="str">
        <f aca="false">'API tracker'!K43</f>
        <v>Schema Update</v>
      </c>
      <c r="E48" s="3" t="str">
        <f aca="false">'API tracker'!O43</f>
        <v>Open</v>
      </c>
      <c r="F48" s="3" t="s">
        <v>102</v>
      </c>
      <c r="G48" s="5" t="str">
        <f aca="false">HYPERLINK("#'API tracker'!A43","Record decision")</f>
        <v>Record decision</v>
      </c>
      <c r="H48" s="5" t="str">
        <f aca="false">HYPERLINK("Firmware_Change_Review.md#f-003","Open F-003")</f>
        <v>Open F-003</v>
      </c>
    </row>
    <row r="49" customFormat="false" ht="44" hidden="false" customHeight="true" outlineLevel="0" collapsed="false">
      <c r="A49" s="3" t="s">
        <v>103</v>
      </c>
      <c r="B49" s="3" t="s">
        <v>104</v>
      </c>
      <c r="C49" s="3" t="s">
        <v>27</v>
      </c>
      <c r="D49" s="3" t="str">
        <f aca="false">'API tracker'!K44</f>
        <v>Schema Update</v>
      </c>
      <c r="E49" s="3" t="str">
        <f aca="false">'API tracker'!O44</f>
        <v>Open</v>
      </c>
      <c r="F49" s="3" t="s">
        <v>102</v>
      </c>
      <c r="G49" s="5" t="str">
        <f aca="false">HYPERLINK("#'API tracker'!A44","Record decision")</f>
        <v>Record decision</v>
      </c>
      <c r="H49" s="5" t="str">
        <f aca="false">HYPERLINK("Firmware_Change_Review.md#f-004","Open F-004")</f>
        <v>Open F-004</v>
      </c>
    </row>
    <row r="50" customFormat="false" ht="44" hidden="false" customHeight="true" outlineLevel="0" collapsed="false">
      <c r="A50" s="3" t="s">
        <v>105</v>
      </c>
      <c r="B50" s="3" t="s">
        <v>106</v>
      </c>
      <c r="C50" s="3" t="s">
        <v>27</v>
      </c>
      <c r="D50" s="3" t="str">
        <f aca="false">'API tracker'!K45</f>
        <v>Schema Update</v>
      </c>
      <c r="E50" s="3" t="str">
        <f aca="false">'API tracker'!O45</f>
        <v>Open</v>
      </c>
      <c r="F50" s="3" t="s">
        <v>102</v>
      </c>
      <c r="G50" s="5" t="str">
        <f aca="false">HYPERLINK("#'API tracker'!A45","Record decision")</f>
        <v>Record decision</v>
      </c>
      <c r="H50" s="5" t="str">
        <f aca="false">HYPERLINK("Firmware_Change_Review.md#f-005","Open F-005")</f>
        <v>Open F-005</v>
      </c>
    </row>
    <row r="51" customFormat="false" ht="44" hidden="false" customHeight="true" outlineLevel="0" collapsed="false">
      <c r="A51" s="3" t="s">
        <v>107</v>
      </c>
      <c r="B51" s="3" t="s">
        <v>108</v>
      </c>
      <c r="C51" s="3" t="s">
        <v>27</v>
      </c>
      <c r="D51" s="3" t="str">
        <f aca="false">'API tracker'!K46</f>
        <v>Schema Update</v>
      </c>
      <c r="E51" s="3" t="str">
        <f aca="false">'API tracker'!O46</f>
        <v>Open</v>
      </c>
      <c r="F51" s="3" t="s">
        <v>102</v>
      </c>
      <c r="G51" s="5" t="str">
        <f aca="false">HYPERLINK("#'API tracker'!A46","Record decision")</f>
        <v>Record decision</v>
      </c>
      <c r="H51" s="5" t="str">
        <f aca="false">HYPERLINK("Firmware_Change_Review.md#f-006","Open F-006")</f>
        <v>Open F-006</v>
      </c>
    </row>
    <row r="52" customFormat="false" ht="44" hidden="false" customHeight="true" outlineLevel="0" collapsed="false">
      <c r="A52" s="3" t="s">
        <v>109</v>
      </c>
      <c r="B52" s="3" t="s">
        <v>110</v>
      </c>
      <c r="C52" s="3" t="s">
        <v>24</v>
      </c>
      <c r="D52" s="3" t="str">
        <f aca="false">'API tracker'!K47</f>
        <v>Schema Update</v>
      </c>
      <c r="E52" s="3" t="str">
        <f aca="false">'API tracker'!O47</f>
        <v>Open</v>
      </c>
      <c r="F52" s="3" t="s">
        <v>111</v>
      </c>
      <c r="G52" s="5" t="str">
        <f aca="false">HYPERLINK("#'API tracker'!A47","Record decision")</f>
        <v>Record decision</v>
      </c>
      <c r="H52" s="5" t="str">
        <f aca="false">HYPERLINK("Firmware_Change_Review.md#f-007","Open F-007")</f>
        <v>Open F-007</v>
      </c>
    </row>
    <row r="53" customFormat="false" ht="44" hidden="false" customHeight="true" outlineLevel="0" collapsed="false">
      <c r="A53" s="3" t="s">
        <v>112</v>
      </c>
      <c r="B53" s="3" t="s">
        <v>113</v>
      </c>
      <c r="C53" s="3" t="s">
        <v>33</v>
      </c>
      <c r="D53" s="3" t="str">
        <f aca="false">'API tracker'!K48</f>
        <v>No Change Required</v>
      </c>
      <c r="E53" s="3" t="str">
        <f aca="false">'API tracker'!O48</f>
        <v>Resolved</v>
      </c>
      <c r="F53" s="3" t="s">
        <v>114</v>
      </c>
      <c r="G53" s="5" t="str">
        <f aca="false">HYPERLINK("#'API tracker'!A48","Record decision")</f>
        <v>Record decision</v>
      </c>
      <c r="H53" s="5" t="str">
        <f aca="false">HYPERLINK("Firmware_Change_Review.md#f-008","Open F-008")</f>
        <v>Open F-008</v>
      </c>
    </row>
    <row r="54" customFormat="false" ht="44" hidden="false" customHeight="true" outlineLevel="0" collapsed="false">
      <c r="A54" s="3" t="s">
        <v>115</v>
      </c>
      <c r="B54" s="3" t="s">
        <v>113</v>
      </c>
      <c r="C54" s="3" t="s">
        <v>33</v>
      </c>
      <c r="D54" s="3" t="str">
        <f aca="false">'API tracker'!K49</f>
        <v>Developer Clarification</v>
      </c>
      <c r="E54" s="3" t="str">
        <f aca="false">'API tracker'!O49</f>
        <v>Open</v>
      </c>
      <c r="F54" s="3" t="s">
        <v>116</v>
      </c>
      <c r="G54" s="5" t="str">
        <f aca="false">HYPERLINK("#'API tracker'!A49","Record decision")</f>
        <v>Record decision</v>
      </c>
      <c r="H54" s="5" t="str">
        <f aca="false">HYPERLINK("Firmware_Change_Review.md#f-008a","Open F-008A")</f>
        <v>Open F-008A</v>
      </c>
    </row>
    <row r="55" customFormat="false" ht="44" hidden="false" customHeight="true" outlineLevel="0" collapsed="false">
      <c r="A55" s="3" t="s">
        <v>117</v>
      </c>
      <c r="B55" s="3" t="s">
        <v>118</v>
      </c>
      <c r="C55" s="3" t="s">
        <v>27</v>
      </c>
      <c r="D55" s="3" t="str">
        <f aca="false">'API tracker'!K50</f>
        <v>Schema Update</v>
      </c>
      <c r="E55" s="3" t="str">
        <f aca="false">'API tracker'!O50</f>
        <v>Open</v>
      </c>
      <c r="F55" s="3" t="s">
        <v>119</v>
      </c>
      <c r="G55" s="5" t="str">
        <f aca="false">HYPERLINK("#'API tracker'!A50","Record decision")</f>
        <v>Record decision</v>
      </c>
      <c r="H55" s="5" t="str">
        <f aca="false">HYPERLINK("Firmware_Change_Review.md#f-009","Open F-009")</f>
        <v>Open F-009</v>
      </c>
    </row>
    <row r="56" customFormat="false" ht="44" hidden="false" customHeight="true" outlineLevel="0" collapsed="false">
      <c r="A56" s="3" t="s">
        <v>120</v>
      </c>
      <c r="B56" s="3" t="s">
        <v>118</v>
      </c>
      <c r="C56" s="3" t="s">
        <v>27</v>
      </c>
      <c r="D56" s="3" t="str">
        <f aca="false">'API tracker'!K51</f>
        <v>Developer Clarification</v>
      </c>
      <c r="E56" s="3" t="str">
        <f aca="false">'API tracker'!O51</f>
        <v>Open</v>
      </c>
      <c r="F56" s="3" t="s">
        <v>121</v>
      </c>
      <c r="G56" s="5" t="str">
        <f aca="false">HYPERLINK("#'API tracker'!A51","Record decision")</f>
        <v>Record decision</v>
      </c>
      <c r="H56" s="5" t="str">
        <f aca="false">HYPERLINK("Firmware_Change_Review.md#f-009a","Open F-009A")</f>
        <v>Open F-009A</v>
      </c>
    </row>
    <row r="57" customFormat="false" ht="44" hidden="false" customHeight="true" outlineLevel="0" collapsed="false">
      <c r="A57" s="3" t="s">
        <v>122</v>
      </c>
      <c r="B57" s="3" t="s">
        <v>118</v>
      </c>
      <c r="C57" s="3" t="s">
        <v>27</v>
      </c>
      <c r="D57" s="3" t="str">
        <f aca="false">'API tracker'!K52</f>
        <v>Developer Clarification</v>
      </c>
      <c r="E57" s="3" t="str">
        <f aca="false">'API tracker'!O52</f>
        <v>Open</v>
      </c>
      <c r="F57" s="3" t="s">
        <v>123</v>
      </c>
      <c r="G57" s="5" t="str">
        <f aca="false">HYPERLINK("#'API tracker'!A52","Record decision")</f>
        <v>Record decision</v>
      </c>
      <c r="H57" s="5" t="str">
        <f aca="false">HYPERLINK("Firmware_Change_Review.md#f-009b","Open F-009B")</f>
        <v>Open F-009B</v>
      </c>
    </row>
    <row r="58" customFormat="false" ht="44" hidden="false" customHeight="true" outlineLevel="0" collapsed="false">
      <c r="A58" s="3" t="s">
        <v>124</v>
      </c>
      <c r="B58" s="3" t="s">
        <v>125</v>
      </c>
      <c r="C58" s="3" t="s">
        <v>27</v>
      </c>
      <c r="D58" s="3" t="str">
        <f aca="false">'API tracker'!K53</f>
        <v>No Change Required</v>
      </c>
      <c r="E58" s="3" t="str">
        <f aca="false">'API tracker'!O53</f>
        <v>Resolved</v>
      </c>
      <c r="F58" s="3" t="s">
        <v>126</v>
      </c>
      <c r="G58" s="5" t="str">
        <f aca="false">HYPERLINK("#'API tracker'!A53","Record decision")</f>
        <v>Record decision</v>
      </c>
      <c r="H58" s="5" t="str">
        <f aca="false">HYPERLINK("Firmware_Change_Review.md#f-010","Open F-010")</f>
        <v>Open F-010</v>
      </c>
    </row>
    <row r="59" customFormat="false" ht="44" hidden="false" customHeight="true" outlineLevel="0" collapsed="false">
      <c r="A59" s="3" t="s">
        <v>127</v>
      </c>
      <c r="B59" s="3" t="s">
        <v>128</v>
      </c>
      <c r="C59" s="3" t="s">
        <v>27</v>
      </c>
      <c r="D59" s="3" t="str">
        <f aca="false">'API tracker'!K54</f>
        <v>Developer Clarification</v>
      </c>
      <c r="E59" s="3" t="str">
        <f aca="false">'API tracker'!O54</f>
        <v>Open</v>
      </c>
      <c r="F59" s="3" t="s">
        <v>129</v>
      </c>
      <c r="G59" s="5" t="str">
        <f aca="false">HYPERLINK("#'API tracker'!A54","Record decision")</f>
        <v>Record decision</v>
      </c>
      <c r="H59" s="5" t="str">
        <f aca="false">HYPERLINK("Firmware_Change_Review.md#f-011","Open F-011")</f>
        <v>Open F-011</v>
      </c>
    </row>
    <row r="60" customFormat="false" ht="44" hidden="false" customHeight="true" outlineLevel="0" collapsed="false">
      <c r="A60" s="3" t="s">
        <v>130</v>
      </c>
      <c r="B60" s="3" t="s">
        <v>131</v>
      </c>
      <c r="C60" s="3" t="s">
        <v>27</v>
      </c>
      <c r="D60" s="3" t="str">
        <f aca="false">'API tracker'!K55</f>
        <v>Schema Update</v>
      </c>
      <c r="E60" s="3" t="str">
        <f aca="false">'API tracker'!O55</f>
        <v>Open</v>
      </c>
      <c r="F60" s="3" t="s">
        <v>132</v>
      </c>
      <c r="G60" s="5" t="str">
        <f aca="false">HYPERLINK("#'API tracker'!A55","Record decision")</f>
        <v>Record decision</v>
      </c>
      <c r="H60" s="5" t="str">
        <f aca="false">HYPERLINK("Firmware_Change_Review.md#f-012","Open F-012")</f>
        <v>Open F-012</v>
      </c>
    </row>
    <row r="61" customFormat="false" ht="44" hidden="false" customHeight="true" outlineLevel="0" collapsed="false">
      <c r="A61" s="3" t="s">
        <v>133</v>
      </c>
      <c r="B61" s="3" t="s">
        <v>131</v>
      </c>
      <c r="C61" s="3" t="s">
        <v>27</v>
      </c>
      <c r="D61" s="3" t="str">
        <f aca="false">'API tracker'!K56</f>
        <v>Developer Clarification</v>
      </c>
      <c r="E61" s="3" t="str">
        <f aca="false">'API tracker'!O56</f>
        <v>Open</v>
      </c>
      <c r="F61" s="3" t="s">
        <v>134</v>
      </c>
      <c r="G61" s="5" t="str">
        <f aca="false">HYPERLINK("#'API tracker'!A56","Record decision")</f>
        <v>Record decision</v>
      </c>
      <c r="H61" s="5" t="str">
        <f aca="false">HYPERLINK("Firmware_Change_Review.md#f-012a","Open F-012A")</f>
        <v>Open F-012A</v>
      </c>
    </row>
    <row r="62" customFormat="false" ht="44" hidden="false" customHeight="true" outlineLevel="0" collapsed="false">
      <c r="A62" s="3" t="s">
        <v>135</v>
      </c>
      <c r="B62" s="3" t="s">
        <v>136</v>
      </c>
      <c r="C62" s="3" t="s">
        <v>27</v>
      </c>
      <c r="D62" s="3" t="str">
        <f aca="false">'API tracker'!K57</f>
        <v>Firmware Change</v>
      </c>
      <c r="E62" s="3" t="str">
        <f aca="false">'API tracker'!O57</f>
        <v>Open</v>
      </c>
      <c r="F62" s="3" t="s">
        <v>137</v>
      </c>
      <c r="G62" s="5" t="str">
        <f aca="false">HYPERLINK("#'API tracker'!A57","Record decision")</f>
        <v>Record decision</v>
      </c>
      <c r="H62" s="5" t="str">
        <f aca="false">HYPERLINK("Firmware_Change_Review.md#f-013","Open F-013")</f>
        <v>Open F-013</v>
      </c>
    </row>
    <row r="63" customFormat="false" ht="44" hidden="false" customHeight="true" outlineLevel="0" collapsed="false">
      <c r="A63" s="3" t="s">
        <v>138</v>
      </c>
      <c r="B63" s="3" t="s">
        <v>136</v>
      </c>
      <c r="C63" s="3" t="s">
        <v>27</v>
      </c>
      <c r="D63" s="3" t="str">
        <f aca="false">'API tracker'!K58</f>
        <v>Schema Update</v>
      </c>
      <c r="E63" s="3" t="str">
        <f aca="false">'API tracker'!O58</f>
        <v>Open</v>
      </c>
      <c r="F63" s="3" t="s">
        <v>139</v>
      </c>
      <c r="G63" s="5" t="str">
        <f aca="false">HYPERLINK("#'API tracker'!A58","Record decision")</f>
        <v>Record decision</v>
      </c>
      <c r="H63" s="5" t="str">
        <f aca="false">HYPERLINK("Firmware_Change_Review.md#f-013a","Open F-013A")</f>
        <v>Open F-013A</v>
      </c>
    </row>
    <row r="64" customFormat="false" ht="44" hidden="false" customHeight="true" outlineLevel="0" collapsed="false">
      <c r="A64" s="3" t="s">
        <v>140</v>
      </c>
      <c r="B64" s="3" t="s">
        <v>136</v>
      </c>
      <c r="C64" s="3" t="s">
        <v>27</v>
      </c>
      <c r="D64" s="3" t="str">
        <f aca="false">'API tracker'!K59</f>
        <v>Schema Update</v>
      </c>
      <c r="E64" s="3" t="str">
        <f aca="false">'API tracker'!O59</f>
        <v>Open</v>
      </c>
      <c r="F64" s="3" t="s">
        <v>141</v>
      </c>
      <c r="G64" s="5" t="str">
        <f aca="false">HYPERLINK("#'API tracker'!A59","Record decision")</f>
        <v>Record decision</v>
      </c>
      <c r="H64" s="5" t="str">
        <f aca="false">HYPERLINK("Firmware_Change_Review.md#f-013b","Open F-013B")</f>
        <v>Open F-013B</v>
      </c>
    </row>
    <row r="65" customFormat="false" ht="44" hidden="false" customHeight="true" outlineLevel="0" collapsed="false">
      <c r="A65" s="3" t="s">
        <v>142</v>
      </c>
      <c r="B65" s="3" t="s">
        <v>143</v>
      </c>
      <c r="C65" s="3" t="s">
        <v>24</v>
      </c>
      <c r="D65" s="3" t="str">
        <f aca="false">'API tracker'!K60</f>
        <v>No Change Required</v>
      </c>
      <c r="E65" s="3" t="str">
        <f aca="false">'API tracker'!O60</f>
        <v>Resolved</v>
      </c>
      <c r="F65" s="3" t="s">
        <v>144</v>
      </c>
      <c r="G65" s="5" t="str">
        <f aca="false">HYPERLINK("#'API tracker'!A60","Record decision")</f>
        <v>Record decision</v>
      </c>
      <c r="H65" s="5" t="str">
        <f aca="false">HYPERLINK("Firmware_Change_Review.md#f-014","Open F-014")</f>
        <v>Open F-014</v>
      </c>
    </row>
    <row r="66" customFormat="false" ht="44" hidden="false" customHeight="true" outlineLevel="0" collapsed="false">
      <c r="A66" s="3" t="s">
        <v>145</v>
      </c>
      <c r="B66" s="3" t="s">
        <v>143</v>
      </c>
      <c r="C66" s="3" t="s">
        <v>24</v>
      </c>
      <c r="D66" s="3" t="str">
        <f aca="false">'API tracker'!K61</f>
        <v>Schema Update</v>
      </c>
      <c r="E66" s="3" t="str">
        <f aca="false">'API tracker'!O61</f>
        <v>Open</v>
      </c>
      <c r="F66" s="3" t="s">
        <v>146</v>
      </c>
      <c r="G66" s="5" t="str">
        <f aca="false">HYPERLINK("#'API tracker'!A61","Record decision")</f>
        <v>Record decision</v>
      </c>
      <c r="H66" s="5" t="str">
        <f aca="false">HYPERLINK("Firmware_Change_Review.md#f-014a","Open F-014A")</f>
        <v>Open F-014A</v>
      </c>
    </row>
    <row r="67" customFormat="false" ht="44" hidden="false" customHeight="true" outlineLevel="0" collapsed="false">
      <c r="A67" s="3" t="s">
        <v>147</v>
      </c>
      <c r="B67" s="3" t="s">
        <v>143</v>
      </c>
      <c r="C67" s="3" t="s">
        <v>24</v>
      </c>
      <c r="D67" s="3" t="str">
        <f aca="false">'API tracker'!K62</f>
        <v>Schema Update</v>
      </c>
      <c r="E67" s="3" t="str">
        <f aca="false">'API tracker'!O62</f>
        <v>Open</v>
      </c>
      <c r="F67" s="3" t="s">
        <v>148</v>
      </c>
      <c r="G67" s="5" t="str">
        <f aca="false">HYPERLINK("#'API tracker'!A62","Record decision")</f>
        <v>Record decision</v>
      </c>
      <c r="H67" s="5" t="str">
        <f aca="false">HYPERLINK("Firmware_Change_Review.md#f-014b","Open F-014B")</f>
        <v>Open F-014B</v>
      </c>
    </row>
    <row r="68" customFormat="false" ht="44" hidden="false" customHeight="true" outlineLevel="0" collapsed="false">
      <c r="A68" s="3" t="s">
        <v>149</v>
      </c>
      <c r="B68" s="3" t="s">
        <v>143</v>
      </c>
      <c r="C68" s="3" t="s">
        <v>24</v>
      </c>
      <c r="D68" s="3" t="str">
        <f aca="false">'API tracker'!K63</f>
        <v>Schema Update</v>
      </c>
      <c r="E68" s="3" t="str">
        <f aca="false">'API tracker'!O63</f>
        <v>Open</v>
      </c>
      <c r="F68" s="3" t="s">
        <v>150</v>
      </c>
      <c r="G68" s="5" t="str">
        <f aca="false">HYPERLINK("#'API tracker'!A63","Record decision")</f>
        <v>Record decision</v>
      </c>
      <c r="H68" s="5" t="str">
        <f aca="false">HYPERLINK("Firmware_Change_Review.md#f-014c","Open F-014C")</f>
        <v>Open F-014C</v>
      </c>
    </row>
    <row r="69" customFormat="false" ht="44" hidden="false" customHeight="true" outlineLevel="0" collapsed="false">
      <c r="A69" s="3" t="s">
        <v>151</v>
      </c>
      <c r="B69" s="3" t="s">
        <v>143</v>
      </c>
      <c r="C69" s="3" t="s">
        <v>27</v>
      </c>
      <c r="D69" s="3" t="str">
        <f aca="false">'API tracker'!K64</f>
        <v>Developer Clarification</v>
      </c>
      <c r="E69" s="3" t="str">
        <f aca="false">'API tracker'!O64</f>
        <v>Open</v>
      </c>
      <c r="F69" s="3" t="s">
        <v>152</v>
      </c>
      <c r="G69" s="5" t="str">
        <f aca="false">HYPERLINK("#'API tracker'!A64","Record decision")</f>
        <v>Record decision</v>
      </c>
      <c r="H69" s="5" t="str">
        <f aca="false">HYPERLINK("Firmware_Change_Review.md#f-015","Open F-015")</f>
        <v>Open F-015</v>
      </c>
    </row>
    <row r="70" customFormat="false" ht="44" hidden="false" customHeight="true" outlineLevel="0" collapsed="false">
      <c r="A70" s="3" t="s">
        <v>153</v>
      </c>
      <c r="B70" s="3" t="s">
        <v>143</v>
      </c>
      <c r="C70" s="3" t="s">
        <v>27</v>
      </c>
      <c r="D70" s="3" t="str">
        <f aca="false">'API tracker'!K65</f>
        <v>Schema Update</v>
      </c>
      <c r="E70" s="3" t="str">
        <f aca="false">'API tracker'!O65</f>
        <v>Open</v>
      </c>
      <c r="F70" s="3" t="s">
        <v>146</v>
      </c>
      <c r="G70" s="5" t="str">
        <f aca="false">HYPERLINK("#'API tracker'!A65","Record decision")</f>
        <v>Record decision</v>
      </c>
      <c r="H70" s="5" t="str">
        <f aca="false">HYPERLINK("Firmware_Change_Review.md#f-015a","Open F-015A")</f>
        <v>Open F-015A</v>
      </c>
    </row>
    <row r="71" customFormat="false" ht="44" hidden="false" customHeight="true" outlineLevel="0" collapsed="false">
      <c r="A71" s="3" t="s">
        <v>154</v>
      </c>
      <c r="B71" s="3" t="s">
        <v>143</v>
      </c>
      <c r="C71" s="3" t="s">
        <v>27</v>
      </c>
      <c r="D71" s="3" t="str">
        <f aca="false">'API tracker'!K66</f>
        <v>Schema Update</v>
      </c>
      <c r="E71" s="3" t="str">
        <f aca="false">'API tracker'!O66</f>
        <v>Open</v>
      </c>
      <c r="F71" s="3" t="s">
        <v>155</v>
      </c>
      <c r="G71" s="5" t="str">
        <f aca="false">HYPERLINK("#'API tracker'!A66","Record decision")</f>
        <v>Record decision</v>
      </c>
      <c r="H71" s="5" t="str">
        <f aca="false">HYPERLINK("Firmware_Change_Review.md#f-015b","Open F-015B")</f>
        <v>Open F-015B</v>
      </c>
    </row>
    <row r="72" customFormat="false" ht="44" hidden="false" customHeight="true" outlineLevel="0" collapsed="false">
      <c r="A72" s="3" t="s">
        <v>156</v>
      </c>
      <c r="B72" s="3" t="s">
        <v>157</v>
      </c>
      <c r="C72" s="3" t="s">
        <v>24</v>
      </c>
      <c r="D72" s="3" t="str">
        <f aca="false">'API tracker'!K67</f>
        <v>Schema Update</v>
      </c>
      <c r="E72" s="3" t="str">
        <f aca="false">'API tracker'!O67</f>
        <v>Open</v>
      </c>
      <c r="F72" s="3" t="s">
        <v>158</v>
      </c>
      <c r="G72" s="5" t="str">
        <f aca="false">HYPERLINK("#'API tracker'!A67","Record decision")</f>
        <v>Record decision</v>
      </c>
      <c r="H72" s="5" t="str">
        <f aca="false">HYPERLINK("Firmware_Change_Review.md#f-016","Open F-016")</f>
        <v>Open F-016</v>
      </c>
    </row>
    <row r="73" customFormat="false" ht="44" hidden="false" customHeight="true" outlineLevel="0" collapsed="false">
      <c r="A73" s="3" t="s">
        <v>159</v>
      </c>
      <c r="B73" s="3" t="s">
        <v>160</v>
      </c>
      <c r="C73" s="3" t="s">
        <v>24</v>
      </c>
      <c r="D73" s="3" t="str">
        <f aca="false">'API tracker'!K68</f>
        <v>Developer Clarification</v>
      </c>
      <c r="E73" s="3" t="str">
        <f aca="false">'API tracker'!O68</f>
        <v>Open</v>
      </c>
      <c r="F73" s="3" t="s">
        <v>161</v>
      </c>
      <c r="G73" s="5" t="str">
        <f aca="false">HYPERLINK("#'API tracker'!A68","Record decision")</f>
        <v>Record decision</v>
      </c>
      <c r="H73" s="5" t="str">
        <f aca="false">HYPERLINK("Firmware_Change_Review.md#f-017","Open F-017")</f>
        <v>Open F-017</v>
      </c>
    </row>
    <row r="74" customFormat="false" ht="44" hidden="false" customHeight="true" outlineLevel="0" collapsed="false">
      <c r="A74" s="3" t="s">
        <v>162</v>
      </c>
      <c r="B74" s="3" t="s">
        <v>160</v>
      </c>
      <c r="C74" s="3" t="s">
        <v>24</v>
      </c>
      <c r="D74" s="3" t="str">
        <f aca="false">'API tracker'!K69</f>
        <v>Developer Clarification</v>
      </c>
      <c r="E74" s="3" t="str">
        <f aca="false">'API tracker'!O69</f>
        <v>Open</v>
      </c>
      <c r="F74" s="3" t="s">
        <v>163</v>
      </c>
      <c r="G74" s="5" t="str">
        <f aca="false">HYPERLINK("#'API tracker'!A69","Record decision")</f>
        <v>Record decision</v>
      </c>
      <c r="H74" s="5" t="str">
        <f aca="false">HYPERLINK("Firmware_Change_Review.md#f-017a","Open F-017A")</f>
        <v>Open F-017A</v>
      </c>
    </row>
    <row r="75" customFormat="false" ht="44" hidden="false" customHeight="true" outlineLevel="0" collapsed="false">
      <c r="A75" s="3" t="s">
        <v>164</v>
      </c>
      <c r="B75" s="3" t="s">
        <v>160</v>
      </c>
      <c r="C75" s="3" t="s">
        <v>27</v>
      </c>
      <c r="D75" s="3" t="str">
        <f aca="false">'API tracker'!K70</f>
        <v>Developer Clarification</v>
      </c>
      <c r="E75" s="3" t="str">
        <f aca="false">'API tracker'!O70</f>
        <v>Open</v>
      </c>
      <c r="F75" s="3" t="s">
        <v>161</v>
      </c>
      <c r="G75" s="5" t="str">
        <f aca="false">HYPERLINK("#'API tracker'!A70","Record decision")</f>
        <v>Record decision</v>
      </c>
      <c r="H75" s="5" t="str">
        <f aca="false">HYPERLINK("Firmware_Change_Review.md#f-018","Open F-018")</f>
        <v>Open F-018</v>
      </c>
    </row>
    <row r="76" customFormat="false" ht="44" hidden="false" customHeight="true" outlineLevel="0" collapsed="false">
      <c r="A76" s="3" t="s">
        <v>165</v>
      </c>
      <c r="B76" s="3" t="s">
        <v>160</v>
      </c>
      <c r="C76" s="3" t="s">
        <v>27</v>
      </c>
      <c r="D76" s="3" t="str">
        <f aca="false">'API tracker'!K71</f>
        <v>Developer Clarification</v>
      </c>
      <c r="E76" s="3" t="str">
        <f aca="false">'API tracker'!O71</f>
        <v>Open</v>
      </c>
      <c r="F76" s="3" t="s">
        <v>163</v>
      </c>
      <c r="G76" s="5" t="str">
        <f aca="false">HYPERLINK("#'API tracker'!A71","Record decision")</f>
        <v>Record decision</v>
      </c>
      <c r="H76" s="5" t="str">
        <f aca="false">HYPERLINK("Firmware_Change_Review.md#f-018a","Open F-018A")</f>
        <v>Open F-018A</v>
      </c>
    </row>
    <row r="77" customFormat="false" ht="44" hidden="false" customHeight="true" outlineLevel="0" collapsed="false">
      <c r="A77" s="3" t="s">
        <v>166</v>
      </c>
      <c r="B77" s="3" t="s">
        <v>118</v>
      </c>
      <c r="C77" s="3" t="s">
        <v>24</v>
      </c>
      <c r="D77" s="3" t="str">
        <f aca="false">'API tracker'!K72</f>
        <v>Developer Clarification</v>
      </c>
      <c r="E77" s="3" t="str">
        <f aca="false">'API tracker'!O72</f>
        <v>Open</v>
      </c>
      <c r="F77" s="3" t="s">
        <v>167</v>
      </c>
      <c r="G77" s="5" t="str">
        <f aca="false">HYPERLINK("#'API tracker'!A72","Record decision")</f>
        <v>Record decision</v>
      </c>
      <c r="H77" s="5" t="str">
        <f aca="false">HYPERLINK("Firmware_Change_Review.md#f-019","Open F-019")</f>
        <v>Open F-019</v>
      </c>
    </row>
    <row r="78" customFormat="false" ht="44" hidden="false" customHeight="true" outlineLevel="0" collapsed="false">
      <c r="A78" s="3" t="s">
        <v>168</v>
      </c>
      <c r="B78" s="3" t="s">
        <v>118</v>
      </c>
      <c r="C78" s="3" t="s">
        <v>27</v>
      </c>
      <c r="D78" s="3" t="str">
        <f aca="false">'API tracker'!K73</f>
        <v>Developer Clarification</v>
      </c>
      <c r="E78" s="3" t="str">
        <f aca="false">'API tracker'!O73</f>
        <v>Open</v>
      </c>
      <c r="F78" s="3" t="s">
        <v>169</v>
      </c>
      <c r="G78" s="5" t="str">
        <f aca="false">HYPERLINK("#'API tracker'!A73","Record decision")</f>
        <v>Record decision</v>
      </c>
      <c r="H78" s="5" t="str">
        <f aca="false">HYPERLINK("Firmware_Change_Review.md#f-020","Open F-020")</f>
        <v>Open F-020</v>
      </c>
    </row>
    <row r="79" customFormat="false" ht="44" hidden="false" customHeight="true" outlineLevel="0" collapsed="false">
      <c r="A79" s="3" t="s">
        <v>170</v>
      </c>
      <c r="B79" s="3" t="s">
        <v>118</v>
      </c>
      <c r="C79" s="3" t="s">
        <v>27</v>
      </c>
      <c r="D79" s="3" t="str">
        <f aca="false">'API tracker'!K74</f>
        <v>Developer Clarification</v>
      </c>
      <c r="E79" s="3" t="str">
        <f aca="false">'API tracker'!O74</f>
        <v>Open</v>
      </c>
      <c r="F79" s="3" t="s">
        <v>171</v>
      </c>
      <c r="G79" s="5" t="str">
        <f aca="false">HYPERLINK("#'API tracker'!A74","Record decision")</f>
        <v>Record decision</v>
      </c>
      <c r="H79" s="5" t="str">
        <f aca="false">HYPERLINK("Firmware_Change_Review.md#f-020a","Open F-020A")</f>
        <v>Open F-020A</v>
      </c>
    </row>
    <row r="80" customFormat="false" ht="44" hidden="false" customHeight="true" outlineLevel="0" collapsed="false">
      <c r="A80" s="3" t="s">
        <v>172</v>
      </c>
      <c r="B80" s="3" t="s">
        <v>173</v>
      </c>
      <c r="C80" s="3" t="s">
        <v>27</v>
      </c>
      <c r="D80" s="3" t="str">
        <f aca="false">'API tracker'!K75</f>
        <v>Developer Clarification</v>
      </c>
      <c r="E80" s="3" t="str">
        <f aca="false">'API tracker'!O75</f>
        <v>Open</v>
      </c>
      <c r="F80" s="3" t="s">
        <v>174</v>
      </c>
      <c r="G80" s="5" t="str">
        <f aca="false">HYPERLINK("#'API tracker'!A75","Record decision")</f>
        <v>Record decision</v>
      </c>
      <c r="H80" s="5" t="str">
        <f aca="false">HYPERLINK("Firmware_Change_Review.md#f-021","Open F-021")</f>
        <v>Open F-021</v>
      </c>
    </row>
    <row r="81" customFormat="false" ht="44" hidden="false" customHeight="true" outlineLevel="0" collapsed="false">
      <c r="A81" s="3" t="s">
        <v>175</v>
      </c>
      <c r="B81" s="3" t="s">
        <v>176</v>
      </c>
      <c r="C81" s="3" t="s">
        <v>27</v>
      </c>
      <c r="D81" s="3" t="str">
        <f aca="false">'API tracker'!K76</f>
        <v>Developer Clarification</v>
      </c>
      <c r="E81" s="3" t="str">
        <f aca="false">'API tracker'!O76</f>
        <v>Open</v>
      </c>
      <c r="F81" s="3" t="s">
        <v>177</v>
      </c>
      <c r="G81" s="5" t="str">
        <f aca="false">HYPERLINK("#'API tracker'!A76","Record decision")</f>
        <v>Record decision</v>
      </c>
      <c r="H81" s="5" t="str">
        <f aca="false">HYPERLINK("Firmware_Change_Review.md#f-022","Open F-022")</f>
        <v>Open F-022</v>
      </c>
    </row>
    <row r="82" customFormat="false" ht="44" hidden="false" customHeight="true" outlineLevel="0" collapsed="false">
      <c r="A82" s="3" t="s">
        <v>178</v>
      </c>
      <c r="B82" s="3" t="s">
        <v>176</v>
      </c>
      <c r="C82" s="3" t="s">
        <v>27</v>
      </c>
      <c r="D82" s="3" t="str">
        <f aca="false">'API tracker'!K77</f>
        <v>Developer Clarification</v>
      </c>
      <c r="E82" s="3" t="str">
        <f aca="false">'API tracker'!O77</f>
        <v>Open</v>
      </c>
      <c r="F82" s="3" t="s">
        <v>179</v>
      </c>
      <c r="G82" s="5" t="str">
        <f aca="false">HYPERLINK("#'API tracker'!A77","Record decision")</f>
        <v>Record decision</v>
      </c>
      <c r="H82" s="5" t="str">
        <f aca="false">HYPERLINK("Firmware_Change_Review.md#f-022a","Open F-022A")</f>
        <v>Open F-022A</v>
      </c>
    </row>
    <row r="83" customFormat="false" ht="44" hidden="false" customHeight="true" outlineLevel="0" collapsed="false">
      <c r="A83" s="3" t="s">
        <v>180</v>
      </c>
      <c r="B83" s="3" t="s">
        <v>181</v>
      </c>
      <c r="C83" s="3" t="s">
        <v>24</v>
      </c>
      <c r="D83" s="3" t="str">
        <f aca="false">'API tracker'!K78</f>
        <v>Developer Clarification</v>
      </c>
      <c r="E83" s="3" t="str">
        <f aca="false">'API tracker'!O78</f>
        <v>Open</v>
      </c>
      <c r="F83" s="3" t="s">
        <v>182</v>
      </c>
      <c r="G83" s="5" t="str">
        <f aca="false">HYPERLINK("#'API tracker'!A78","Record decision")</f>
        <v>Record decision</v>
      </c>
      <c r="H83" s="5" t="str">
        <f aca="false">HYPERLINK("Firmware_Change_Review.md#f-023","Open F-023")</f>
        <v>Open F-023</v>
      </c>
    </row>
    <row r="84" customFormat="false" ht="44" hidden="false" customHeight="true" outlineLevel="0" collapsed="false">
      <c r="A84" s="3" t="s">
        <v>183</v>
      </c>
      <c r="B84" s="3" t="s">
        <v>181</v>
      </c>
      <c r="C84" s="3" t="s">
        <v>24</v>
      </c>
      <c r="D84" s="3" t="str">
        <f aca="false">'API tracker'!K79</f>
        <v>Developer Clarification</v>
      </c>
      <c r="E84" s="3" t="str">
        <f aca="false">'API tracker'!O79</f>
        <v>Open</v>
      </c>
      <c r="F84" s="3" t="s">
        <v>184</v>
      </c>
      <c r="G84" s="5" t="str">
        <f aca="false">HYPERLINK("#'API tracker'!A79","Record decision")</f>
        <v>Record decision</v>
      </c>
      <c r="H84" s="5" t="str">
        <f aca="false">HYPERLINK("Firmware_Change_Review.md#f-023a","Open F-023A")</f>
        <v>Open F-023A</v>
      </c>
    </row>
    <row r="85" customFormat="false" ht="44" hidden="false" customHeight="true" outlineLevel="0" collapsed="false">
      <c r="A85" s="3" t="s">
        <v>185</v>
      </c>
      <c r="B85" s="3" t="s">
        <v>74</v>
      </c>
      <c r="C85" s="3" t="s">
        <v>24</v>
      </c>
      <c r="D85" s="3" t="str">
        <f aca="false">'API tracker'!K80</f>
        <v>Developer Clarification</v>
      </c>
      <c r="E85" s="3" t="str">
        <f aca="false">'API tracker'!O80</f>
        <v>Open</v>
      </c>
      <c r="F85" s="3" t="s">
        <v>186</v>
      </c>
      <c r="G85" s="5" t="str">
        <f aca="false">HYPERLINK("#'API tracker'!A80","Record decision")</f>
        <v>Record decision</v>
      </c>
      <c r="H85" s="5" t="str">
        <f aca="false">HYPERLINK("Firmware_Change_Review.md#f-024","Open F-024")</f>
        <v>Open F-024</v>
      </c>
    </row>
    <row r="86" customFormat="false" ht="44" hidden="false" customHeight="true" outlineLevel="0" collapsed="false">
      <c r="A86" s="3" t="s">
        <v>187</v>
      </c>
      <c r="B86" s="3" t="s">
        <v>188</v>
      </c>
      <c r="C86" s="3" t="s">
        <v>27</v>
      </c>
      <c r="D86" s="3" t="str">
        <f aca="false">'API tracker'!K81</f>
        <v>Schema Update</v>
      </c>
      <c r="E86" s="3" t="str">
        <f aca="false">'API tracker'!O81</f>
        <v>Open</v>
      </c>
      <c r="F86" s="3" t="s">
        <v>189</v>
      </c>
      <c r="G86" s="5" t="str">
        <f aca="false">HYPERLINK("#'API tracker'!A81","Record decision")</f>
        <v>Record decision</v>
      </c>
      <c r="H86" s="5" t="str">
        <f aca="false">HYPERLINK("Firmware_Change_Review.md#f-025","Open F-025")</f>
        <v>Open F-025</v>
      </c>
    </row>
    <row r="87" customFormat="false" ht="44" hidden="false" customHeight="true" outlineLevel="0" collapsed="false">
      <c r="A87" s="3" t="s">
        <v>190</v>
      </c>
      <c r="B87" s="3" t="s">
        <v>191</v>
      </c>
      <c r="C87" s="3" t="s">
        <v>24</v>
      </c>
      <c r="D87" s="3" t="str">
        <f aca="false">'API tracker'!K82</f>
        <v>Schema Update</v>
      </c>
      <c r="E87" s="3" t="str">
        <f aca="false">'API tracker'!O82</f>
        <v>Open</v>
      </c>
      <c r="F87" s="3" t="s">
        <v>192</v>
      </c>
      <c r="G87" s="5" t="str">
        <f aca="false">HYPERLINK("#'API tracker'!A82","Record decision")</f>
        <v>Record decision</v>
      </c>
      <c r="H87" s="5" t="str">
        <f aca="false">HYPERLINK("Firmware_Change_Review.md#f-026","Open F-026")</f>
        <v>Open F-026</v>
      </c>
    </row>
    <row r="88" customFormat="false" ht="44" hidden="false" customHeight="true" outlineLevel="0" collapsed="false">
      <c r="A88" s="3" t="s">
        <v>193</v>
      </c>
      <c r="B88" s="3" t="s">
        <v>191</v>
      </c>
      <c r="C88" s="3" t="s">
        <v>24</v>
      </c>
      <c r="D88" s="3" t="str">
        <f aca="false">'API tracker'!K83</f>
        <v>Developer Clarification</v>
      </c>
      <c r="E88" s="3" t="str">
        <f aca="false">'API tracker'!O83</f>
        <v>Open</v>
      </c>
      <c r="F88" s="3" t="s">
        <v>194</v>
      </c>
      <c r="G88" s="5" t="str">
        <f aca="false">HYPERLINK("#'API tracker'!A83","Record decision")</f>
        <v>Record decision</v>
      </c>
      <c r="H88" s="5" t="str">
        <f aca="false">HYPERLINK("Firmware_Change_Review.md#f-026a","Open F-026A")</f>
        <v>Open F-026A</v>
      </c>
    </row>
    <row r="89" customFormat="false" ht="44" hidden="false" customHeight="true" outlineLevel="0" collapsed="false">
      <c r="A89" s="3" t="s">
        <v>195</v>
      </c>
      <c r="B89" s="3" t="s">
        <v>196</v>
      </c>
      <c r="C89" s="3" t="s">
        <v>24</v>
      </c>
      <c r="D89" s="3" t="str">
        <f aca="false">'API tracker'!K84</f>
        <v>Developer Clarification</v>
      </c>
      <c r="E89" s="3" t="str">
        <f aca="false">'API tracker'!O84</f>
        <v>Open</v>
      </c>
      <c r="F89" s="3" t="s">
        <v>197</v>
      </c>
      <c r="G89" s="5" t="str">
        <f aca="false">HYPERLINK("#'API tracker'!A84","Record decision")</f>
        <v>Record decision</v>
      </c>
      <c r="H89" s="5" t="str">
        <f aca="false">HYPERLINK("Firmware_Change_Review.md#f-027","Open F-027")</f>
        <v>Open F-027</v>
      </c>
    </row>
    <row r="90" customFormat="false" ht="44" hidden="false" customHeight="true" outlineLevel="0" collapsed="false">
      <c r="A90" s="3" t="s">
        <v>198</v>
      </c>
      <c r="B90" s="3" t="s">
        <v>196</v>
      </c>
      <c r="C90" s="3" t="s">
        <v>24</v>
      </c>
      <c r="D90" s="3" t="str">
        <f aca="false">'API tracker'!K85</f>
        <v>Developer Clarification</v>
      </c>
      <c r="E90" s="3" t="str">
        <f aca="false">'API tracker'!O85</f>
        <v>Open</v>
      </c>
      <c r="F90" s="3" t="s">
        <v>199</v>
      </c>
      <c r="G90" s="5" t="str">
        <f aca="false">HYPERLINK("#'API tracker'!A85","Record decision")</f>
        <v>Record decision</v>
      </c>
      <c r="H90" s="5" t="str">
        <f aca="false">HYPERLINK("Firmware_Change_Review.md#f-028","Open F-028")</f>
        <v>Open F-028</v>
      </c>
    </row>
  </sheetData>
  <conditionalFormatting sqref="D13:D90">
    <cfRule type="containsText" priority="2" operator="containsText" aboveAverage="0" equalAverage="0" bottom="0" percent="0" rank="0" text="Documentation Only" dxfId="10">
      <formula>NOT(ISERROR(SEARCH("Documentation Only",D13)))</formula>
    </cfRule>
    <cfRule type="containsText" priority="3" operator="containsText" aboveAverage="0" equalAverage="0" bottom="0" percent="0" rank="0" text="Schema Update" dxfId="11">
      <formula>NOT(ISERROR(SEARCH("Schema Update",D13)))</formula>
    </cfRule>
    <cfRule type="containsText" priority="4" operator="containsText" aboveAverage="0" equalAverage="0" bottom="0" percent="0" rank="0" text="Firmware Change" dxfId="12">
      <formula>NOT(ISERROR(SEARCH("Firmware Change",D13)))</formula>
    </cfRule>
    <cfRule type="containsText" priority="5" operator="containsText" aboveAverage="0" equalAverage="0" bottom="0" percent="0" rank="0" text="Developer Clarification" dxfId="13">
      <formula>NOT(ISERROR(SEARCH("Developer Clarification",D13)))</formula>
    </cfRule>
    <cfRule type="containsText" priority="6" operator="containsText" aboveAverage="0" equalAverage="0" bottom="0" percent="0" rank="0" text="No Change Required" dxfId="14">
      <formula>NOT(ISERROR(SEARCH("No Change Required",D13)))</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34D"/>
    <pageSetUpPr fitToPage="false"/>
  </sheetPr>
  <dimension ref="A1:S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90"/>
    <col collapsed="false" customWidth="true" hidden="false" outlineLevel="0" max="3" min="3" style="0" width="42"/>
    <col collapsed="false" customWidth="true" hidden="false" outlineLevel="0" max="4" min="4" style="0" width="13"/>
    <col collapsed="false" customWidth="true" hidden="false" outlineLevel="0" max="5" min="5" style="0" width="18"/>
    <col collapsed="false" customWidth="true" hidden="false" outlineLevel="0" max="6" min="6" style="0" width="110"/>
    <col collapsed="false" customWidth="true" hidden="false" outlineLevel="0" max="8" min="7" style="0" width="70"/>
    <col collapsed="false" customWidth="true" hidden="false" outlineLevel="0" max="9" min="9" style="0" width="78"/>
    <col collapsed="false" customWidth="true" hidden="false" outlineLevel="0" max="10" min="10" style="0" width="70"/>
    <col collapsed="false" customWidth="true" hidden="false" outlineLevel="0" max="11" min="11" style="0" width="26"/>
    <col collapsed="false" customWidth="true" hidden="false" outlineLevel="0" max="13" min="12" style="0" width="78"/>
    <col collapsed="false" customWidth="true" hidden="false" outlineLevel="0" max="14" min="14" style="0" width="65"/>
    <col collapsed="false" customWidth="true" hidden="false" outlineLevel="0" max="15" min="15" style="0" width="18"/>
    <col collapsed="false" customWidth="true" hidden="false" outlineLevel="0" max="16" min="16" style="0" width="30"/>
    <col collapsed="false" customWidth="true" hidden="false" outlineLevel="0" max="17" min="17" style="0" width="25"/>
    <col collapsed="false" customWidth="true" hidden="false" outlineLevel="0" max="18" min="18" style="0" width="55"/>
    <col collapsed="false" customWidth="true" hidden="false" outlineLevel="0" max="19" min="19" style="0" width="78"/>
  </cols>
  <sheetData>
    <row r="1" customFormat="false" ht="15" hidden="false" customHeight="false" outlineLevel="0" collapsed="false">
      <c r="A1" s="1"/>
      <c r="B1" s="1"/>
      <c r="C1" s="1"/>
      <c r="D1" s="1"/>
      <c r="E1" s="1"/>
      <c r="F1" s="1"/>
      <c r="G1" s="1"/>
      <c r="H1" s="1"/>
      <c r="I1" s="1"/>
      <c r="J1" s="1"/>
      <c r="K1" s="1"/>
      <c r="L1" s="1"/>
      <c r="M1" s="1"/>
      <c r="N1" s="1"/>
      <c r="O1" s="1"/>
      <c r="P1" s="1"/>
      <c r="Q1" s="1"/>
      <c r="R1" s="1"/>
      <c r="S1" s="1"/>
    </row>
    <row r="2" customFormat="false" ht="26" hidden="false" customHeight="true" outlineLevel="0" collapsed="false">
      <c r="A2" s="2" t="s">
        <v>200</v>
      </c>
      <c r="B2" s="1"/>
      <c r="C2" s="1"/>
      <c r="D2" s="1"/>
      <c r="E2" s="1"/>
      <c r="F2" s="1"/>
      <c r="G2" s="1"/>
      <c r="H2" s="1"/>
      <c r="I2" s="1"/>
      <c r="J2" s="1"/>
      <c r="K2" s="1"/>
      <c r="L2" s="1"/>
      <c r="M2" s="1"/>
      <c r="N2" s="1"/>
      <c r="O2" s="1"/>
      <c r="P2" s="1"/>
      <c r="Q2" s="1"/>
      <c r="R2" s="1"/>
      <c r="S2" s="1"/>
    </row>
    <row r="3" customFormat="false" ht="15" hidden="false" customHeight="false" outlineLevel="0" collapsed="false">
      <c r="A3" s="1"/>
      <c r="B3" s="1"/>
      <c r="C3" s="1"/>
      <c r="D3" s="1"/>
      <c r="E3" s="1"/>
      <c r="F3" s="1"/>
      <c r="G3" s="1"/>
      <c r="H3" s="1"/>
      <c r="I3" s="1"/>
      <c r="J3" s="1"/>
      <c r="K3" s="1"/>
      <c r="L3" s="1"/>
      <c r="M3" s="1"/>
      <c r="N3" s="1"/>
      <c r="O3" s="1"/>
      <c r="P3" s="1"/>
      <c r="Q3" s="1"/>
      <c r="R3" s="1"/>
      <c r="S3" s="1"/>
    </row>
    <row r="4" customFormat="false" ht="15" hidden="false" customHeight="false" outlineLevel="0" collapsed="false">
      <c r="A4" s="1" t="s">
        <v>201</v>
      </c>
      <c r="B4" s="1"/>
      <c r="C4" s="1"/>
      <c r="D4" s="1"/>
      <c r="E4" s="1"/>
      <c r="F4" s="1"/>
      <c r="G4" s="1"/>
      <c r="H4" s="1"/>
      <c r="I4" s="1"/>
      <c r="J4" s="1"/>
      <c r="K4" s="1"/>
      <c r="L4" s="1"/>
      <c r="M4" s="1"/>
      <c r="N4" s="1"/>
      <c r="O4" s="1"/>
      <c r="P4" s="1"/>
      <c r="Q4" s="1"/>
      <c r="R4" s="1"/>
      <c r="S4" s="1"/>
    </row>
    <row r="5" customFormat="false" ht="15" hidden="false" customHeight="false" outlineLevel="0" collapsed="false">
      <c r="A5" s="1" t="s">
        <v>202</v>
      </c>
      <c r="B5" s="1"/>
      <c r="C5" s="1"/>
      <c r="D5" s="1"/>
      <c r="E5" s="1"/>
      <c r="F5" s="1"/>
      <c r="G5" s="1"/>
      <c r="H5" s="1"/>
      <c r="I5" s="1"/>
      <c r="J5" s="1"/>
      <c r="K5" s="1"/>
      <c r="L5" s="1"/>
      <c r="M5" s="1"/>
      <c r="N5" s="1"/>
      <c r="O5" s="1"/>
      <c r="P5" s="1"/>
      <c r="Q5" s="1"/>
      <c r="R5" s="1"/>
      <c r="S5" s="1"/>
    </row>
    <row r="6" customFormat="false" ht="15" hidden="false" customHeight="false" outlineLevel="0" collapsed="false">
      <c r="A6" s="1"/>
      <c r="B6" s="1"/>
      <c r="C6" s="1"/>
      <c r="D6" s="1"/>
      <c r="E6" s="1"/>
      <c r="F6" s="1"/>
      <c r="G6" s="1"/>
      <c r="H6" s="1"/>
      <c r="I6" s="1"/>
      <c r="J6" s="1"/>
      <c r="K6" s="1"/>
      <c r="L6" s="1"/>
      <c r="M6" s="1"/>
      <c r="N6" s="1"/>
      <c r="O6" s="1"/>
      <c r="P6" s="1"/>
      <c r="Q6" s="1"/>
      <c r="R6" s="1"/>
      <c r="S6" s="1"/>
    </row>
    <row r="7" customFormat="false" ht="32" hidden="false" customHeight="true" outlineLevel="0" collapsed="false">
      <c r="A7" s="4" t="s">
        <v>14</v>
      </c>
      <c r="B7" s="4" t="s">
        <v>203</v>
      </c>
      <c r="C7" s="4" t="s">
        <v>15</v>
      </c>
      <c r="D7" s="4" t="s">
        <v>204</v>
      </c>
      <c r="E7" s="4" t="s">
        <v>205</v>
      </c>
      <c r="F7" s="4" t="s">
        <v>206</v>
      </c>
      <c r="G7" s="4" t="s">
        <v>207</v>
      </c>
      <c r="H7" s="4" t="s">
        <v>208</v>
      </c>
      <c r="I7" s="4" t="s">
        <v>209</v>
      </c>
      <c r="J7" s="4" t="s">
        <v>210</v>
      </c>
      <c r="K7" s="4" t="s">
        <v>17</v>
      </c>
      <c r="L7" s="4" t="s">
        <v>211</v>
      </c>
      <c r="M7" s="4" t="s">
        <v>212</v>
      </c>
      <c r="N7" s="4" t="s">
        <v>213</v>
      </c>
      <c r="O7" s="4" t="s">
        <v>18</v>
      </c>
      <c r="P7" s="4" t="s">
        <v>214</v>
      </c>
      <c r="Q7" s="4" t="s">
        <v>215</v>
      </c>
      <c r="R7" s="4" t="s">
        <v>19</v>
      </c>
      <c r="S7" s="4" t="s">
        <v>216</v>
      </c>
    </row>
    <row r="8" customFormat="false" ht="90" hidden="false" customHeight="true" outlineLevel="0" collapsed="false">
      <c r="A8" s="3" t="s">
        <v>22</v>
      </c>
      <c r="B8" s="3" t="s">
        <v>217</v>
      </c>
      <c r="C8" s="3" t="s">
        <v>23</v>
      </c>
      <c r="D8" s="3" t="s">
        <v>24</v>
      </c>
      <c r="E8" s="3" t="s">
        <v>218</v>
      </c>
      <c r="F8" s="3" t="s">
        <v>219</v>
      </c>
      <c r="G8" s="3" t="s">
        <v>220</v>
      </c>
      <c r="H8" s="3" t="s">
        <v>221</v>
      </c>
      <c r="I8" s="3" t="s">
        <v>222</v>
      </c>
      <c r="J8" s="3" t="s">
        <v>223</v>
      </c>
      <c r="K8" s="3" t="s">
        <v>3</v>
      </c>
      <c r="L8" s="3" t="s">
        <v>224</v>
      </c>
      <c r="M8" s="3" t="s">
        <v>225</v>
      </c>
      <c r="N8" s="6" t="s">
        <v>226</v>
      </c>
      <c r="O8" s="3" t="s">
        <v>227</v>
      </c>
      <c r="P8" s="3" t="s">
        <v>228</v>
      </c>
      <c r="Q8" s="5" t="str">
        <f aca="false">HYPERLINK("Firmware_Change_Review.md#e-001","Open E-001")</f>
        <v>Open E-001</v>
      </c>
      <c r="R8" s="3" t="s">
        <v>25</v>
      </c>
      <c r="S8" s="3" t="s">
        <v>229</v>
      </c>
    </row>
    <row r="9" customFormat="false" ht="90" hidden="false" customHeight="true" outlineLevel="0" collapsed="false">
      <c r="A9" s="3" t="s">
        <v>26</v>
      </c>
      <c r="B9" s="3" t="s">
        <v>217</v>
      </c>
      <c r="C9" s="3" t="s">
        <v>23</v>
      </c>
      <c r="D9" s="3" t="s">
        <v>27</v>
      </c>
      <c r="E9" s="3" t="s">
        <v>218</v>
      </c>
      <c r="F9" s="3" t="s">
        <v>230</v>
      </c>
      <c r="G9" s="3" t="s">
        <v>220</v>
      </c>
      <c r="H9" s="3" t="s">
        <v>231</v>
      </c>
      <c r="I9" s="3" t="s">
        <v>222</v>
      </c>
      <c r="J9" s="3" t="s">
        <v>223</v>
      </c>
      <c r="K9" s="3" t="s">
        <v>3</v>
      </c>
      <c r="L9" s="3" t="s">
        <v>224</v>
      </c>
      <c r="M9" s="3" t="s">
        <v>225</v>
      </c>
      <c r="N9" s="6" t="s">
        <v>226</v>
      </c>
      <c r="O9" s="3" t="s">
        <v>227</v>
      </c>
      <c r="P9" s="3" t="s">
        <v>232</v>
      </c>
      <c r="Q9" s="5" t="str">
        <f aca="false">HYPERLINK("Firmware_Change_Review.md#e-002","Open E-002")</f>
        <v>Open E-002</v>
      </c>
      <c r="R9" s="3" t="s">
        <v>25</v>
      </c>
      <c r="S9" s="3" t="s">
        <v>229</v>
      </c>
    </row>
    <row r="10" customFormat="false" ht="90" hidden="false" customHeight="true" outlineLevel="0" collapsed="false">
      <c r="A10" s="3" t="s">
        <v>28</v>
      </c>
      <c r="B10" s="3" t="s">
        <v>233</v>
      </c>
      <c r="C10" s="3" t="s">
        <v>29</v>
      </c>
      <c r="D10" s="3" t="s">
        <v>24</v>
      </c>
      <c r="E10" s="3" t="s">
        <v>234</v>
      </c>
      <c r="F10" s="3" t="s">
        <v>235</v>
      </c>
      <c r="G10" s="3" t="s">
        <v>220</v>
      </c>
      <c r="H10" s="3" t="s">
        <v>236</v>
      </c>
      <c r="I10" s="3" t="s">
        <v>237</v>
      </c>
      <c r="J10" s="3" t="s">
        <v>238</v>
      </c>
      <c r="K10" s="3" t="s">
        <v>10</v>
      </c>
      <c r="L10" s="3" t="s">
        <v>239</v>
      </c>
      <c r="M10" s="3" t="s">
        <v>240</v>
      </c>
      <c r="N10" s="6" t="s">
        <v>226</v>
      </c>
      <c r="O10" s="3" t="s">
        <v>227</v>
      </c>
      <c r="P10" s="3" t="s">
        <v>241</v>
      </c>
      <c r="Q10" s="5" t="str">
        <f aca="false">HYPERLINK("Firmware_Change_Review.md#e-003","Open E-003")</f>
        <v>Open E-003</v>
      </c>
      <c r="R10" s="3" t="s">
        <v>30</v>
      </c>
      <c r="S10" s="3" t="s">
        <v>242</v>
      </c>
    </row>
    <row r="11" customFormat="false" ht="90" hidden="false" customHeight="true" outlineLevel="0" collapsed="false">
      <c r="A11" s="3" t="s">
        <v>31</v>
      </c>
      <c r="B11" s="3" t="s">
        <v>233</v>
      </c>
      <c r="C11" s="3" t="s">
        <v>32</v>
      </c>
      <c r="D11" s="3" t="s">
        <v>33</v>
      </c>
      <c r="E11" s="3" t="s">
        <v>234</v>
      </c>
      <c r="F11" s="3" t="s">
        <v>243</v>
      </c>
      <c r="G11" s="3" t="s">
        <v>220</v>
      </c>
      <c r="H11" s="3" t="s">
        <v>244</v>
      </c>
      <c r="I11" s="3" t="s">
        <v>245</v>
      </c>
      <c r="J11" s="3" t="s">
        <v>238</v>
      </c>
      <c r="K11" s="3" t="s">
        <v>10</v>
      </c>
      <c r="L11" s="3" t="s">
        <v>239</v>
      </c>
      <c r="M11" s="3" t="s">
        <v>246</v>
      </c>
      <c r="N11" s="6" t="s">
        <v>226</v>
      </c>
      <c r="O11" s="3" t="s">
        <v>227</v>
      </c>
      <c r="P11" s="3" t="s">
        <v>247</v>
      </c>
      <c r="Q11" s="5" t="str">
        <f aca="false">HYPERLINK("Firmware_Change_Review.md#e-004","Open E-004")</f>
        <v>Open E-004</v>
      </c>
      <c r="R11" s="3" t="s">
        <v>30</v>
      </c>
      <c r="S11" s="3" t="s">
        <v>242</v>
      </c>
    </row>
    <row r="12" customFormat="false" ht="90" hidden="false" customHeight="true" outlineLevel="0" collapsed="false">
      <c r="A12" s="3" t="s">
        <v>34</v>
      </c>
      <c r="B12" s="3" t="s">
        <v>233</v>
      </c>
      <c r="C12" s="3" t="s">
        <v>32</v>
      </c>
      <c r="D12" s="3" t="s">
        <v>27</v>
      </c>
      <c r="E12" s="3" t="s">
        <v>234</v>
      </c>
      <c r="F12" s="3" t="s">
        <v>248</v>
      </c>
      <c r="G12" s="3" t="s">
        <v>220</v>
      </c>
      <c r="H12" s="3" t="s">
        <v>249</v>
      </c>
      <c r="I12" s="3" t="s">
        <v>250</v>
      </c>
      <c r="J12" s="3" t="s">
        <v>238</v>
      </c>
      <c r="K12" s="3" t="s">
        <v>10</v>
      </c>
      <c r="L12" s="3" t="s">
        <v>239</v>
      </c>
      <c r="M12" s="3" t="s">
        <v>251</v>
      </c>
      <c r="N12" s="6" t="s">
        <v>226</v>
      </c>
      <c r="O12" s="3" t="s">
        <v>227</v>
      </c>
      <c r="P12" s="3" t="s">
        <v>252</v>
      </c>
      <c r="Q12" s="5" t="str">
        <f aca="false">HYPERLINK("Firmware_Change_Review.md#e-005","Open E-005")</f>
        <v>Open E-005</v>
      </c>
      <c r="R12" s="3" t="s">
        <v>30</v>
      </c>
      <c r="S12" s="3" t="s">
        <v>242</v>
      </c>
    </row>
    <row r="13" customFormat="false" ht="90" hidden="false" customHeight="true" outlineLevel="0" collapsed="false">
      <c r="A13" s="3" t="s">
        <v>35</v>
      </c>
      <c r="B13" s="3" t="s">
        <v>217</v>
      </c>
      <c r="C13" s="3" t="s">
        <v>36</v>
      </c>
      <c r="D13" s="3" t="s">
        <v>24</v>
      </c>
      <c r="E13" s="3" t="s">
        <v>218</v>
      </c>
      <c r="F13" s="3" t="s">
        <v>253</v>
      </c>
      <c r="G13" s="3" t="s">
        <v>220</v>
      </c>
      <c r="H13" s="3" t="s">
        <v>254</v>
      </c>
      <c r="I13" s="3" t="s">
        <v>255</v>
      </c>
      <c r="J13" s="3" t="s">
        <v>256</v>
      </c>
      <c r="K13" s="3" t="s">
        <v>10</v>
      </c>
      <c r="L13" s="3" t="s">
        <v>257</v>
      </c>
      <c r="M13" s="3" t="s">
        <v>258</v>
      </c>
      <c r="N13" s="6" t="s">
        <v>226</v>
      </c>
      <c r="O13" s="3" t="s">
        <v>227</v>
      </c>
      <c r="P13" s="3" t="s">
        <v>259</v>
      </c>
      <c r="Q13" s="5" t="str">
        <f aca="false">HYPERLINK("Firmware_Change_Review.md#e-006","Open E-006")</f>
        <v>Open E-006</v>
      </c>
      <c r="R13" s="3" t="s">
        <v>37</v>
      </c>
      <c r="S13" s="3" t="s">
        <v>260</v>
      </c>
    </row>
    <row r="14" customFormat="false" ht="90" hidden="false" customHeight="true" outlineLevel="0" collapsed="false">
      <c r="A14" s="3" t="s">
        <v>38</v>
      </c>
      <c r="B14" s="3" t="s">
        <v>217</v>
      </c>
      <c r="C14" s="3" t="s">
        <v>36</v>
      </c>
      <c r="D14" s="3" t="s">
        <v>27</v>
      </c>
      <c r="E14" s="3" t="s">
        <v>218</v>
      </c>
      <c r="F14" s="3" t="s">
        <v>261</v>
      </c>
      <c r="G14" s="3" t="s">
        <v>220</v>
      </c>
      <c r="H14" s="3" t="s">
        <v>262</v>
      </c>
      <c r="I14" s="3" t="s">
        <v>255</v>
      </c>
      <c r="J14" s="3" t="s">
        <v>256</v>
      </c>
      <c r="K14" s="3" t="s">
        <v>10</v>
      </c>
      <c r="L14" s="3" t="s">
        <v>257</v>
      </c>
      <c r="M14" s="3" t="s">
        <v>258</v>
      </c>
      <c r="N14" s="6" t="s">
        <v>226</v>
      </c>
      <c r="O14" s="3" t="s">
        <v>227</v>
      </c>
      <c r="P14" s="3" t="s">
        <v>263</v>
      </c>
      <c r="Q14" s="5" t="str">
        <f aca="false">HYPERLINK("Firmware_Change_Review.md#e-007","Open E-007")</f>
        <v>Open E-007</v>
      </c>
      <c r="R14" s="3" t="s">
        <v>37</v>
      </c>
      <c r="S14" s="3" t="s">
        <v>260</v>
      </c>
    </row>
    <row r="15" customFormat="false" ht="90" hidden="false" customHeight="true" outlineLevel="0" collapsed="false">
      <c r="A15" s="3" t="s">
        <v>39</v>
      </c>
      <c r="B15" s="3" t="s">
        <v>264</v>
      </c>
      <c r="C15" s="3" t="s">
        <v>40</v>
      </c>
      <c r="D15" s="3" t="s">
        <v>24</v>
      </c>
      <c r="E15" s="3" t="s">
        <v>265</v>
      </c>
      <c r="F15" s="3" t="s">
        <v>266</v>
      </c>
      <c r="G15" s="3" t="s">
        <v>220</v>
      </c>
      <c r="H15" s="3" t="s">
        <v>267</v>
      </c>
      <c r="I15" s="3" t="s">
        <v>268</v>
      </c>
      <c r="J15" s="3" t="s">
        <v>269</v>
      </c>
      <c r="K15" s="3" t="s">
        <v>10</v>
      </c>
      <c r="L15" s="3" t="s">
        <v>270</v>
      </c>
      <c r="M15" s="3" t="s">
        <v>271</v>
      </c>
      <c r="N15" s="6" t="s">
        <v>226</v>
      </c>
      <c r="O15" s="3" t="s">
        <v>227</v>
      </c>
      <c r="P15" s="3" t="s">
        <v>272</v>
      </c>
      <c r="Q15" s="5" t="str">
        <f aca="false">HYPERLINK("Firmware_Change_Review.md#e-008","Open E-008")</f>
        <v>Open E-008</v>
      </c>
      <c r="R15" s="3" t="s">
        <v>41</v>
      </c>
      <c r="S15" s="3" t="s">
        <v>273</v>
      </c>
    </row>
    <row r="16" customFormat="false" ht="90" hidden="false" customHeight="true" outlineLevel="0" collapsed="false">
      <c r="A16" s="3" t="s">
        <v>42</v>
      </c>
      <c r="B16" s="3" t="s">
        <v>264</v>
      </c>
      <c r="C16" s="3" t="s">
        <v>40</v>
      </c>
      <c r="D16" s="3" t="s">
        <v>27</v>
      </c>
      <c r="E16" s="3" t="s">
        <v>265</v>
      </c>
      <c r="F16" s="3" t="s">
        <v>274</v>
      </c>
      <c r="G16" s="3" t="s">
        <v>220</v>
      </c>
      <c r="H16" s="3" t="s">
        <v>275</v>
      </c>
      <c r="I16" s="3" t="s">
        <v>268</v>
      </c>
      <c r="J16" s="3" t="s">
        <v>276</v>
      </c>
      <c r="K16" s="3" t="s">
        <v>10</v>
      </c>
      <c r="L16" s="3" t="s">
        <v>270</v>
      </c>
      <c r="M16" s="3" t="s">
        <v>277</v>
      </c>
      <c r="N16" s="6" t="s">
        <v>226</v>
      </c>
      <c r="O16" s="3" t="s">
        <v>227</v>
      </c>
      <c r="P16" s="3" t="s">
        <v>278</v>
      </c>
      <c r="Q16" s="5" t="str">
        <f aca="false">HYPERLINK("Firmware_Change_Review.md#e-009","Open E-009")</f>
        <v>Open E-009</v>
      </c>
      <c r="R16" s="3" t="s">
        <v>41</v>
      </c>
      <c r="S16" s="3" t="s">
        <v>273</v>
      </c>
    </row>
    <row r="17" customFormat="false" ht="90" hidden="false" customHeight="true" outlineLevel="0" collapsed="false">
      <c r="A17" s="3" t="s">
        <v>43</v>
      </c>
      <c r="B17" s="3" t="s">
        <v>279</v>
      </c>
      <c r="C17" s="3" t="s">
        <v>44</v>
      </c>
      <c r="D17" s="3" t="s">
        <v>24</v>
      </c>
      <c r="E17" s="3" t="s">
        <v>265</v>
      </c>
      <c r="F17" s="3" t="s">
        <v>280</v>
      </c>
      <c r="G17" s="3" t="s">
        <v>220</v>
      </c>
      <c r="H17" s="3" t="s">
        <v>281</v>
      </c>
      <c r="I17" s="3" t="s">
        <v>282</v>
      </c>
      <c r="J17" s="3" t="s">
        <v>283</v>
      </c>
      <c r="K17" s="3" t="s">
        <v>6</v>
      </c>
      <c r="L17" s="3" t="s">
        <v>284</v>
      </c>
      <c r="M17" s="3" t="s">
        <v>285</v>
      </c>
      <c r="N17" s="6" t="s">
        <v>226</v>
      </c>
      <c r="O17" s="3" t="s">
        <v>227</v>
      </c>
      <c r="P17" s="3" t="s">
        <v>286</v>
      </c>
      <c r="Q17" s="5" t="str">
        <f aca="false">HYPERLINK("Firmware_Change_Review.md#e-010","Open E-010")</f>
        <v>Open E-010</v>
      </c>
      <c r="R17" s="3" t="s">
        <v>45</v>
      </c>
      <c r="S17" s="3" t="s">
        <v>260</v>
      </c>
    </row>
    <row r="18" customFormat="false" ht="97.5" hidden="false" customHeight="true" outlineLevel="0" collapsed="false">
      <c r="A18" s="3" t="s">
        <v>46</v>
      </c>
      <c r="B18" s="3" t="s">
        <v>287</v>
      </c>
      <c r="C18" s="3" t="s">
        <v>47</v>
      </c>
      <c r="D18" s="3" t="s">
        <v>24</v>
      </c>
      <c r="E18" s="3" t="s">
        <v>234</v>
      </c>
      <c r="F18" s="3" t="s">
        <v>288</v>
      </c>
      <c r="G18" s="3" t="s">
        <v>289</v>
      </c>
      <c r="H18" s="3" t="s">
        <v>290</v>
      </c>
      <c r="I18" s="3" t="s">
        <v>291</v>
      </c>
      <c r="J18" s="3" t="s">
        <v>292</v>
      </c>
      <c r="K18" s="3" t="s">
        <v>11</v>
      </c>
      <c r="L18" s="3" t="s">
        <v>293</v>
      </c>
      <c r="M18" s="3" t="s">
        <v>294</v>
      </c>
      <c r="N18" s="6" t="s">
        <v>226</v>
      </c>
      <c r="O18" s="3" t="s">
        <v>295</v>
      </c>
      <c r="P18" s="3" t="s">
        <v>296</v>
      </c>
      <c r="Q18" s="5" t="str">
        <f aca="false">HYPERLINK("Firmware_Change_Review.md#e-011","Open E-011")</f>
        <v>Open E-011</v>
      </c>
      <c r="R18" s="3" t="s">
        <v>48</v>
      </c>
      <c r="S18" s="3" t="s">
        <v>297</v>
      </c>
    </row>
    <row r="19" customFormat="false" ht="90" hidden="false" customHeight="true" outlineLevel="0" collapsed="false">
      <c r="A19" s="3" t="s">
        <v>49</v>
      </c>
      <c r="B19" s="3" t="s">
        <v>298</v>
      </c>
      <c r="C19" s="3" t="s">
        <v>50</v>
      </c>
      <c r="D19" s="3" t="s">
        <v>24</v>
      </c>
      <c r="E19" s="3" t="s">
        <v>234</v>
      </c>
      <c r="F19" s="3" t="s">
        <v>299</v>
      </c>
      <c r="G19" s="3" t="s">
        <v>289</v>
      </c>
      <c r="H19" s="3" t="s">
        <v>300</v>
      </c>
      <c r="I19" s="3" t="s">
        <v>301</v>
      </c>
      <c r="J19" s="3" t="s">
        <v>292</v>
      </c>
      <c r="K19" s="3" t="s">
        <v>11</v>
      </c>
      <c r="L19" s="3" t="s">
        <v>293</v>
      </c>
      <c r="M19" s="3" t="s">
        <v>294</v>
      </c>
      <c r="N19" s="6" t="s">
        <v>226</v>
      </c>
      <c r="O19" s="3" t="s">
        <v>295</v>
      </c>
      <c r="P19" s="3" t="s">
        <v>302</v>
      </c>
      <c r="Q19" s="5" t="str">
        <f aca="false">HYPERLINK("Firmware_Change_Review.md#e-012","Open E-012")</f>
        <v>Open E-012</v>
      </c>
      <c r="R19" s="3" t="s">
        <v>48</v>
      </c>
      <c r="S19" s="3" t="s">
        <v>297</v>
      </c>
    </row>
    <row r="20" customFormat="false" ht="90" hidden="false" customHeight="true" outlineLevel="0" collapsed="false">
      <c r="A20" s="3" t="s">
        <v>51</v>
      </c>
      <c r="B20" s="3" t="s">
        <v>298</v>
      </c>
      <c r="C20" s="3" t="s">
        <v>52</v>
      </c>
      <c r="D20" s="3" t="s">
        <v>24</v>
      </c>
      <c r="E20" s="3" t="s">
        <v>234</v>
      </c>
      <c r="F20" s="3" t="s">
        <v>303</v>
      </c>
      <c r="G20" s="3" t="s">
        <v>289</v>
      </c>
      <c r="H20" s="3" t="s">
        <v>304</v>
      </c>
      <c r="I20" s="3" t="s">
        <v>305</v>
      </c>
      <c r="J20" s="3" t="s">
        <v>292</v>
      </c>
      <c r="K20" s="3" t="s">
        <v>11</v>
      </c>
      <c r="L20" s="3" t="s">
        <v>293</v>
      </c>
      <c r="M20" s="3" t="s">
        <v>294</v>
      </c>
      <c r="N20" s="6" t="s">
        <v>226</v>
      </c>
      <c r="O20" s="3" t="s">
        <v>295</v>
      </c>
      <c r="P20" s="3" t="s">
        <v>306</v>
      </c>
      <c r="Q20" s="5" t="str">
        <f aca="false">HYPERLINK("Firmware_Change_Review.md#e-013","Open E-013")</f>
        <v>Open E-013</v>
      </c>
      <c r="R20" s="3" t="s">
        <v>48</v>
      </c>
      <c r="S20" s="3" t="s">
        <v>297</v>
      </c>
    </row>
    <row r="21" customFormat="false" ht="90" hidden="false" customHeight="true" outlineLevel="0" collapsed="false">
      <c r="A21" s="3" t="s">
        <v>53</v>
      </c>
      <c r="B21" s="3" t="s">
        <v>298</v>
      </c>
      <c r="C21" s="3" t="s">
        <v>54</v>
      </c>
      <c r="D21" s="3" t="s">
        <v>33</v>
      </c>
      <c r="E21" s="3" t="s">
        <v>234</v>
      </c>
      <c r="F21" s="3" t="s">
        <v>307</v>
      </c>
      <c r="G21" s="3" t="s">
        <v>308</v>
      </c>
      <c r="H21" s="3" t="s">
        <v>309</v>
      </c>
      <c r="I21" s="3" t="s">
        <v>310</v>
      </c>
      <c r="J21" s="3" t="s">
        <v>292</v>
      </c>
      <c r="K21" s="3" t="s">
        <v>11</v>
      </c>
      <c r="L21" s="3" t="s">
        <v>293</v>
      </c>
      <c r="M21" s="3" t="s">
        <v>294</v>
      </c>
      <c r="N21" s="6" t="s">
        <v>226</v>
      </c>
      <c r="O21" s="3" t="s">
        <v>295</v>
      </c>
      <c r="P21" s="3" t="s">
        <v>311</v>
      </c>
      <c r="Q21" s="5" t="str">
        <f aca="false">HYPERLINK("Firmware_Change_Review.md#e-014","Open E-014")</f>
        <v>Open E-014</v>
      </c>
      <c r="R21" s="3" t="s">
        <v>48</v>
      </c>
      <c r="S21" s="3" t="s">
        <v>297</v>
      </c>
    </row>
    <row r="22" customFormat="false" ht="90" hidden="false" customHeight="true" outlineLevel="0" collapsed="false">
      <c r="A22" s="3" t="s">
        <v>55</v>
      </c>
      <c r="B22" s="3" t="s">
        <v>298</v>
      </c>
      <c r="C22" s="3" t="s">
        <v>54</v>
      </c>
      <c r="D22" s="3" t="s">
        <v>24</v>
      </c>
      <c r="E22" s="3" t="s">
        <v>234</v>
      </c>
      <c r="F22" s="3" t="s">
        <v>312</v>
      </c>
      <c r="G22" s="3" t="s">
        <v>289</v>
      </c>
      <c r="H22" s="3" t="s">
        <v>313</v>
      </c>
      <c r="I22" s="3" t="s">
        <v>310</v>
      </c>
      <c r="J22" s="3" t="s">
        <v>292</v>
      </c>
      <c r="K22" s="3" t="s">
        <v>11</v>
      </c>
      <c r="L22" s="3" t="s">
        <v>293</v>
      </c>
      <c r="M22" s="3" t="s">
        <v>294</v>
      </c>
      <c r="N22" s="6" t="s">
        <v>226</v>
      </c>
      <c r="O22" s="3" t="s">
        <v>295</v>
      </c>
      <c r="P22" s="3" t="s">
        <v>314</v>
      </c>
      <c r="Q22" s="5" t="str">
        <f aca="false">HYPERLINK("Firmware_Change_Review.md#e-015","Open E-015")</f>
        <v>Open E-015</v>
      </c>
      <c r="R22" s="3" t="s">
        <v>48</v>
      </c>
      <c r="S22" s="3" t="s">
        <v>297</v>
      </c>
    </row>
    <row r="23" customFormat="false" ht="90" hidden="false" customHeight="true" outlineLevel="0" collapsed="false">
      <c r="A23" s="3" t="s">
        <v>56</v>
      </c>
      <c r="B23" s="3" t="s">
        <v>298</v>
      </c>
      <c r="C23" s="3" t="s">
        <v>57</v>
      </c>
      <c r="D23" s="3" t="s">
        <v>33</v>
      </c>
      <c r="E23" s="3" t="s">
        <v>234</v>
      </c>
      <c r="F23" s="3" t="s">
        <v>315</v>
      </c>
      <c r="G23" s="3" t="s">
        <v>308</v>
      </c>
      <c r="H23" s="3" t="s">
        <v>316</v>
      </c>
      <c r="I23" s="3" t="s">
        <v>317</v>
      </c>
      <c r="J23" s="3" t="s">
        <v>292</v>
      </c>
      <c r="K23" s="3" t="s">
        <v>11</v>
      </c>
      <c r="L23" s="3" t="s">
        <v>293</v>
      </c>
      <c r="M23" s="3" t="s">
        <v>294</v>
      </c>
      <c r="N23" s="6" t="s">
        <v>226</v>
      </c>
      <c r="O23" s="3" t="s">
        <v>295</v>
      </c>
      <c r="P23" s="3" t="s">
        <v>318</v>
      </c>
      <c r="Q23" s="5" t="str">
        <f aca="false">HYPERLINK("Firmware_Change_Review.md#e-016","Open E-016")</f>
        <v>Open E-016</v>
      </c>
      <c r="R23" s="3" t="s">
        <v>48</v>
      </c>
      <c r="S23" s="3" t="s">
        <v>297</v>
      </c>
    </row>
    <row r="24" customFormat="false" ht="90" hidden="false" customHeight="true" outlineLevel="0" collapsed="false">
      <c r="A24" s="3" t="s">
        <v>58</v>
      </c>
      <c r="B24" s="3" t="s">
        <v>298</v>
      </c>
      <c r="C24" s="3" t="s">
        <v>57</v>
      </c>
      <c r="D24" s="3" t="s">
        <v>24</v>
      </c>
      <c r="E24" s="3" t="s">
        <v>234</v>
      </c>
      <c r="F24" s="3" t="s">
        <v>319</v>
      </c>
      <c r="G24" s="3" t="s">
        <v>289</v>
      </c>
      <c r="H24" s="3" t="s">
        <v>320</v>
      </c>
      <c r="I24" s="3" t="s">
        <v>317</v>
      </c>
      <c r="J24" s="3" t="s">
        <v>292</v>
      </c>
      <c r="K24" s="3" t="s">
        <v>11</v>
      </c>
      <c r="L24" s="3" t="s">
        <v>293</v>
      </c>
      <c r="M24" s="3" t="s">
        <v>294</v>
      </c>
      <c r="N24" s="6" t="s">
        <v>226</v>
      </c>
      <c r="O24" s="3" t="s">
        <v>295</v>
      </c>
      <c r="P24" s="3" t="s">
        <v>321</v>
      </c>
      <c r="Q24" s="5" t="str">
        <f aca="false">HYPERLINK("Firmware_Change_Review.md#e-017","Open E-017")</f>
        <v>Open E-017</v>
      </c>
      <c r="R24" s="3" t="s">
        <v>48</v>
      </c>
      <c r="S24" s="3" t="s">
        <v>297</v>
      </c>
    </row>
    <row r="25" customFormat="false" ht="90" hidden="false" customHeight="true" outlineLevel="0" collapsed="false">
      <c r="A25" s="3" t="s">
        <v>59</v>
      </c>
      <c r="B25" s="3" t="s">
        <v>322</v>
      </c>
      <c r="C25" s="3" t="s">
        <v>60</v>
      </c>
      <c r="D25" s="3" t="s">
        <v>24</v>
      </c>
      <c r="E25" s="3" t="s">
        <v>234</v>
      </c>
      <c r="F25" s="3" t="s">
        <v>323</v>
      </c>
      <c r="G25" s="3" t="s">
        <v>220</v>
      </c>
      <c r="H25" s="3" t="s">
        <v>324</v>
      </c>
      <c r="I25" s="3" t="s">
        <v>325</v>
      </c>
      <c r="J25" s="3" t="s">
        <v>326</v>
      </c>
      <c r="K25" s="3" t="s">
        <v>11</v>
      </c>
      <c r="L25" s="3" t="s">
        <v>327</v>
      </c>
      <c r="M25" s="3" t="s">
        <v>328</v>
      </c>
      <c r="N25" s="6" t="s">
        <v>226</v>
      </c>
      <c r="O25" s="3" t="s">
        <v>295</v>
      </c>
      <c r="P25" s="3" t="s">
        <v>329</v>
      </c>
      <c r="Q25" s="5" t="str">
        <f aca="false">HYPERLINK("Firmware_Change_Review.md#e-018","Open E-018")</f>
        <v>Open E-018</v>
      </c>
      <c r="R25" s="3" t="s">
        <v>61</v>
      </c>
      <c r="S25" s="3" t="s">
        <v>330</v>
      </c>
    </row>
    <row r="26" customFormat="false" ht="90" hidden="false" customHeight="true" outlineLevel="0" collapsed="false">
      <c r="A26" s="3" t="s">
        <v>62</v>
      </c>
      <c r="B26" s="3" t="s">
        <v>298</v>
      </c>
      <c r="C26" s="3" t="s">
        <v>63</v>
      </c>
      <c r="D26" s="3" t="s">
        <v>27</v>
      </c>
      <c r="E26" s="3" t="s">
        <v>265</v>
      </c>
      <c r="F26" s="3" t="s">
        <v>331</v>
      </c>
      <c r="G26" s="3" t="s">
        <v>220</v>
      </c>
      <c r="H26" s="3" t="s">
        <v>332</v>
      </c>
      <c r="I26" s="3" t="s">
        <v>333</v>
      </c>
      <c r="J26" s="3" t="s">
        <v>334</v>
      </c>
      <c r="K26" s="3" t="s">
        <v>6</v>
      </c>
      <c r="L26" s="3" t="s">
        <v>335</v>
      </c>
      <c r="M26" s="3" t="s">
        <v>336</v>
      </c>
      <c r="N26" s="6" t="s">
        <v>226</v>
      </c>
      <c r="O26" s="3" t="s">
        <v>227</v>
      </c>
      <c r="P26" s="3" t="s">
        <v>337</v>
      </c>
      <c r="Q26" s="5" t="str">
        <f aca="false">HYPERLINK("Firmware_Change_Review.md#e-019","Open E-019")</f>
        <v>Open E-019</v>
      </c>
      <c r="R26" s="3" t="s">
        <v>64</v>
      </c>
      <c r="S26" s="3" t="s">
        <v>260</v>
      </c>
    </row>
    <row r="27" customFormat="false" ht="90" hidden="false" customHeight="true" outlineLevel="0" collapsed="false">
      <c r="A27" s="3" t="s">
        <v>65</v>
      </c>
      <c r="B27" s="3" t="s">
        <v>217</v>
      </c>
      <c r="C27" s="3" t="s">
        <v>66</v>
      </c>
      <c r="D27" s="3" t="s">
        <v>24</v>
      </c>
      <c r="E27" s="3" t="s">
        <v>234</v>
      </c>
      <c r="F27" s="3" t="s">
        <v>338</v>
      </c>
      <c r="G27" s="3" t="s">
        <v>220</v>
      </c>
      <c r="H27" s="3" t="s">
        <v>339</v>
      </c>
      <c r="I27" s="3" t="s">
        <v>325</v>
      </c>
      <c r="J27" s="3" t="s">
        <v>326</v>
      </c>
      <c r="K27" s="3" t="s">
        <v>11</v>
      </c>
      <c r="L27" s="3" t="s">
        <v>327</v>
      </c>
      <c r="M27" s="3" t="s">
        <v>328</v>
      </c>
      <c r="N27" s="6" t="s">
        <v>226</v>
      </c>
      <c r="O27" s="3" t="s">
        <v>295</v>
      </c>
      <c r="P27" s="3" t="s">
        <v>340</v>
      </c>
      <c r="Q27" s="5" t="str">
        <f aca="false">HYPERLINK("Firmware_Change_Review.md#e-020","Open E-020")</f>
        <v>Open E-020</v>
      </c>
      <c r="R27" s="3" t="s">
        <v>61</v>
      </c>
      <c r="S27" s="3" t="s">
        <v>330</v>
      </c>
    </row>
    <row r="28" customFormat="false" ht="90" hidden="false" customHeight="true" outlineLevel="0" collapsed="false">
      <c r="A28" s="3" t="s">
        <v>67</v>
      </c>
      <c r="B28" s="3" t="s">
        <v>217</v>
      </c>
      <c r="C28" s="3" t="s">
        <v>66</v>
      </c>
      <c r="D28" s="3" t="s">
        <v>27</v>
      </c>
      <c r="E28" s="3" t="s">
        <v>234</v>
      </c>
      <c r="F28" s="3" t="s">
        <v>341</v>
      </c>
      <c r="G28" s="3" t="s">
        <v>220</v>
      </c>
      <c r="H28" s="3" t="s">
        <v>342</v>
      </c>
      <c r="I28" s="3" t="s">
        <v>325</v>
      </c>
      <c r="J28" s="3" t="s">
        <v>326</v>
      </c>
      <c r="K28" s="3" t="s">
        <v>11</v>
      </c>
      <c r="L28" s="3" t="s">
        <v>327</v>
      </c>
      <c r="M28" s="3" t="s">
        <v>328</v>
      </c>
      <c r="N28" s="6" t="s">
        <v>226</v>
      </c>
      <c r="O28" s="3" t="s">
        <v>295</v>
      </c>
      <c r="P28" s="3" t="s">
        <v>343</v>
      </c>
      <c r="Q28" s="5" t="str">
        <f aca="false">HYPERLINK("Firmware_Change_Review.md#e-021","Open E-021")</f>
        <v>Open E-021</v>
      </c>
      <c r="R28" s="3" t="s">
        <v>61</v>
      </c>
      <c r="S28" s="3" t="s">
        <v>330</v>
      </c>
    </row>
    <row r="29" customFormat="false" ht="90" hidden="false" customHeight="true" outlineLevel="0" collapsed="false">
      <c r="A29" s="3" t="s">
        <v>68</v>
      </c>
      <c r="B29" s="3" t="s">
        <v>344</v>
      </c>
      <c r="C29" s="3" t="s">
        <v>69</v>
      </c>
      <c r="D29" s="3" t="s">
        <v>24</v>
      </c>
      <c r="E29" s="3" t="s">
        <v>265</v>
      </c>
      <c r="F29" s="3" t="s">
        <v>345</v>
      </c>
      <c r="G29" s="3" t="s">
        <v>220</v>
      </c>
      <c r="H29" s="3" t="s">
        <v>346</v>
      </c>
      <c r="I29" s="3" t="s">
        <v>347</v>
      </c>
      <c r="J29" s="3" t="s">
        <v>348</v>
      </c>
      <c r="K29" s="3" t="s">
        <v>10</v>
      </c>
      <c r="L29" s="3" t="s">
        <v>349</v>
      </c>
      <c r="M29" s="3" t="s">
        <v>350</v>
      </c>
      <c r="N29" s="6" t="s">
        <v>226</v>
      </c>
      <c r="O29" s="3" t="s">
        <v>227</v>
      </c>
      <c r="P29" s="3" t="s">
        <v>351</v>
      </c>
      <c r="Q29" s="5" t="str">
        <f aca="false">HYPERLINK("Firmware_Change_Review.md#e-022","Open E-022")</f>
        <v>Open E-022</v>
      </c>
      <c r="R29" s="3" t="s">
        <v>70</v>
      </c>
      <c r="S29" s="3" t="s">
        <v>352</v>
      </c>
    </row>
    <row r="30" customFormat="false" ht="90" hidden="false" customHeight="true" outlineLevel="0" collapsed="false">
      <c r="A30" s="3" t="s">
        <v>71</v>
      </c>
      <c r="B30" s="3" t="s">
        <v>353</v>
      </c>
      <c r="C30" s="3" t="s">
        <v>72</v>
      </c>
      <c r="D30" s="3" t="s">
        <v>24</v>
      </c>
      <c r="E30" s="3" t="s">
        <v>234</v>
      </c>
      <c r="F30" s="3" t="s">
        <v>354</v>
      </c>
      <c r="G30" s="3" t="s">
        <v>220</v>
      </c>
      <c r="H30" s="3" t="s">
        <v>355</v>
      </c>
      <c r="I30" s="3" t="s">
        <v>325</v>
      </c>
      <c r="J30" s="3" t="s">
        <v>326</v>
      </c>
      <c r="K30" s="3" t="s">
        <v>11</v>
      </c>
      <c r="L30" s="3" t="s">
        <v>327</v>
      </c>
      <c r="M30" s="3" t="s">
        <v>328</v>
      </c>
      <c r="N30" s="6" t="s">
        <v>226</v>
      </c>
      <c r="O30" s="3" t="s">
        <v>295</v>
      </c>
      <c r="P30" s="3" t="s">
        <v>356</v>
      </c>
      <c r="Q30" s="5" t="str">
        <f aca="false">HYPERLINK("Firmware_Change_Review.md#e-023","Open E-023")</f>
        <v>Open E-023</v>
      </c>
      <c r="R30" s="3" t="s">
        <v>61</v>
      </c>
      <c r="S30" s="3" t="s">
        <v>357</v>
      </c>
    </row>
    <row r="31" customFormat="false" ht="97.5" hidden="false" customHeight="true" outlineLevel="0" collapsed="false">
      <c r="A31" s="3" t="s">
        <v>73</v>
      </c>
      <c r="B31" s="3" t="s">
        <v>358</v>
      </c>
      <c r="C31" s="3" t="s">
        <v>74</v>
      </c>
      <c r="D31" s="3" t="s">
        <v>27</v>
      </c>
      <c r="E31" s="3" t="s">
        <v>265</v>
      </c>
      <c r="F31" s="3" t="s">
        <v>359</v>
      </c>
      <c r="G31" s="3" t="s">
        <v>220</v>
      </c>
      <c r="H31" s="3" t="s">
        <v>360</v>
      </c>
      <c r="I31" s="3" t="s">
        <v>361</v>
      </c>
      <c r="J31" s="3" t="s">
        <v>362</v>
      </c>
      <c r="K31" s="3" t="s">
        <v>10</v>
      </c>
      <c r="L31" s="3" t="s">
        <v>363</v>
      </c>
      <c r="M31" s="3" t="s">
        <v>364</v>
      </c>
      <c r="N31" s="6" t="s">
        <v>226</v>
      </c>
      <c r="O31" s="3" t="s">
        <v>227</v>
      </c>
      <c r="P31" s="3" t="s">
        <v>365</v>
      </c>
      <c r="Q31" s="5" t="str">
        <f aca="false">HYPERLINK("Firmware_Change_Review.md#e-024","Open E-024")</f>
        <v>Open E-024</v>
      </c>
      <c r="R31" s="3" t="s">
        <v>75</v>
      </c>
      <c r="S31" s="3" t="s">
        <v>366</v>
      </c>
    </row>
    <row r="32" customFormat="false" ht="90" hidden="false" customHeight="true" outlineLevel="0" collapsed="false">
      <c r="A32" s="3" t="s">
        <v>76</v>
      </c>
      <c r="B32" s="3" t="s">
        <v>367</v>
      </c>
      <c r="C32" s="3" t="s">
        <v>77</v>
      </c>
      <c r="D32" s="3" t="s">
        <v>24</v>
      </c>
      <c r="E32" s="3" t="s">
        <v>218</v>
      </c>
      <c r="F32" s="3" t="s">
        <v>368</v>
      </c>
      <c r="G32" s="3" t="s">
        <v>220</v>
      </c>
      <c r="H32" s="3" t="s">
        <v>369</v>
      </c>
      <c r="I32" s="3" t="s">
        <v>370</v>
      </c>
      <c r="J32" s="3" t="s">
        <v>371</v>
      </c>
      <c r="K32" s="3" t="s">
        <v>11</v>
      </c>
      <c r="L32" s="3" t="s">
        <v>372</v>
      </c>
      <c r="M32" s="3" t="s">
        <v>373</v>
      </c>
      <c r="N32" s="6" t="s">
        <v>226</v>
      </c>
      <c r="O32" s="3" t="s">
        <v>295</v>
      </c>
      <c r="P32" s="3" t="s">
        <v>374</v>
      </c>
      <c r="Q32" s="5" t="str">
        <f aca="false">HYPERLINK("Firmware_Change_Review.md#e-025","Open E-025")</f>
        <v>Open E-025</v>
      </c>
      <c r="R32" s="3" t="s">
        <v>78</v>
      </c>
      <c r="S32" s="3" t="s">
        <v>375</v>
      </c>
    </row>
    <row r="33" customFormat="false" ht="90" hidden="false" customHeight="true" outlineLevel="0" collapsed="false">
      <c r="A33" s="3" t="s">
        <v>79</v>
      </c>
      <c r="B33" s="3" t="s">
        <v>367</v>
      </c>
      <c r="C33" s="3" t="s">
        <v>77</v>
      </c>
      <c r="D33" s="3" t="s">
        <v>27</v>
      </c>
      <c r="E33" s="3" t="s">
        <v>218</v>
      </c>
      <c r="F33" s="3" t="s">
        <v>376</v>
      </c>
      <c r="G33" s="3" t="s">
        <v>220</v>
      </c>
      <c r="H33" s="3" t="s">
        <v>377</v>
      </c>
      <c r="I33" s="3" t="s">
        <v>370</v>
      </c>
      <c r="J33" s="3" t="s">
        <v>371</v>
      </c>
      <c r="K33" s="3" t="s">
        <v>11</v>
      </c>
      <c r="L33" s="3" t="s">
        <v>372</v>
      </c>
      <c r="M33" s="3" t="s">
        <v>373</v>
      </c>
      <c r="N33" s="6" t="s">
        <v>226</v>
      </c>
      <c r="O33" s="3" t="s">
        <v>295</v>
      </c>
      <c r="P33" s="3" t="s">
        <v>378</v>
      </c>
      <c r="Q33" s="5" t="str">
        <f aca="false">HYPERLINK("Firmware_Change_Review.md#e-026","Open E-026")</f>
        <v>Open E-026</v>
      </c>
      <c r="R33" s="3" t="s">
        <v>78</v>
      </c>
      <c r="S33" s="3" t="s">
        <v>375</v>
      </c>
    </row>
    <row r="34" customFormat="false" ht="90" hidden="false" customHeight="true" outlineLevel="0" collapsed="false">
      <c r="A34" s="3" t="s">
        <v>80</v>
      </c>
      <c r="B34" s="3" t="s">
        <v>379</v>
      </c>
      <c r="C34" s="3" t="s">
        <v>81</v>
      </c>
      <c r="D34" s="3" t="s">
        <v>27</v>
      </c>
      <c r="E34" s="3" t="s">
        <v>234</v>
      </c>
      <c r="F34" s="3" t="s">
        <v>380</v>
      </c>
      <c r="G34" s="3" t="s">
        <v>220</v>
      </c>
      <c r="H34" s="3" t="s">
        <v>381</v>
      </c>
      <c r="I34" s="3" t="s">
        <v>325</v>
      </c>
      <c r="J34" s="3" t="s">
        <v>326</v>
      </c>
      <c r="K34" s="3" t="s">
        <v>11</v>
      </c>
      <c r="L34" s="3" t="s">
        <v>327</v>
      </c>
      <c r="M34" s="3" t="s">
        <v>328</v>
      </c>
      <c r="N34" s="6" t="s">
        <v>226</v>
      </c>
      <c r="O34" s="3" t="s">
        <v>295</v>
      </c>
      <c r="P34" s="3" t="s">
        <v>382</v>
      </c>
      <c r="Q34" s="5" t="str">
        <f aca="false">HYPERLINK("Firmware_Change_Review.md#e-027","Open E-027")</f>
        <v>Open E-027</v>
      </c>
      <c r="R34" s="3" t="s">
        <v>61</v>
      </c>
      <c r="S34" s="3" t="s">
        <v>330</v>
      </c>
    </row>
    <row r="35" customFormat="false" ht="90" hidden="false" customHeight="true" outlineLevel="0" collapsed="false">
      <c r="A35" s="3" t="s">
        <v>82</v>
      </c>
      <c r="B35" s="3" t="s">
        <v>322</v>
      </c>
      <c r="C35" s="3" t="s">
        <v>83</v>
      </c>
      <c r="D35" s="3" t="s">
        <v>24</v>
      </c>
      <c r="E35" s="3" t="s">
        <v>234</v>
      </c>
      <c r="F35" s="3" t="s">
        <v>383</v>
      </c>
      <c r="G35" s="3" t="s">
        <v>220</v>
      </c>
      <c r="H35" s="3" t="s">
        <v>384</v>
      </c>
      <c r="I35" s="3" t="s">
        <v>325</v>
      </c>
      <c r="J35" s="3" t="s">
        <v>326</v>
      </c>
      <c r="K35" s="3" t="s">
        <v>11</v>
      </c>
      <c r="L35" s="3" t="s">
        <v>327</v>
      </c>
      <c r="M35" s="3" t="s">
        <v>328</v>
      </c>
      <c r="N35" s="6" t="s">
        <v>226</v>
      </c>
      <c r="O35" s="3" t="s">
        <v>295</v>
      </c>
      <c r="P35" s="3" t="s">
        <v>385</v>
      </c>
      <c r="Q35" s="5" t="str">
        <f aca="false">HYPERLINK("Firmware_Change_Review.md#e-028","Open E-028")</f>
        <v>Open E-028</v>
      </c>
      <c r="R35" s="3" t="s">
        <v>61</v>
      </c>
      <c r="S35" s="3" t="s">
        <v>330</v>
      </c>
    </row>
    <row r="36" customFormat="false" ht="90" hidden="false" customHeight="true" outlineLevel="0" collapsed="false">
      <c r="A36" s="3" t="s">
        <v>84</v>
      </c>
      <c r="B36" s="3" t="s">
        <v>386</v>
      </c>
      <c r="C36" s="3" t="s">
        <v>85</v>
      </c>
      <c r="D36" s="3" t="s">
        <v>33</v>
      </c>
      <c r="E36" s="3" t="s">
        <v>234</v>
      </c>
      <c r="F36" s="3" t="s">
        <v>315</v>
      </c>
      <c r="G36" s="3" t="s">
        <v>308</v>
      </c>
      <c r="H36" s="3" t="s">
        <v>316</v>
      </c>
      <c r="I36" s="3" t="s">
        <v>387</v>
      </c>
      <c r="J36" s="3" t="s">
        <v>388</v>
      </c>
      <c r="K36" s="3" t="s">
        <v>10</v>
      </c>
      <c r="L36" s="3" t="s">
        <v>389</v>
      </c>
      <c r="M36" s="3" t="s">
        <v>390</v>
      </c>
      <c r="N36" s="6" t="s">
        <v>226</v>
      </c>
      <c r="O36" s="3" t="s">
        <v>227</v>
      </c>
      <c r="P36" s="3" t="s">
        <v>391</v>
      </c>
      <c r="Q36" s="5" t="str">
        <f aca="false">HYPERLINK("Firmware_Change_Review.md#e-029","Open E-029")</f>
        <v>Open E-029</v>
      </c>
      <c r="R36" s="3" t="s">
        <v>86</v>
      </c>
      <c r="S36" s="3" t="s">
        <v>392</v>
      </c>
    </row>
    <row r="37" customFormat="false" ht="90" hidden="false" customHeight="true" outlineLevel="0" collapsed="false">
      <c r="A37" s="3" t="s">
        <v>87</v>
      </c>
      <c r="B37" s="3" t="s">
        <v>393</v>
      </c>
      <c r="C37" s="3" t="s">
        <v>85</v>
      </c>
      <c r="D37" s="3" t="s">
        <v>24</v>
      </c>
      <c r="E37" s="3" t="s">
        <v>234</v>
      </c>
      <c r="F37" s="3" t="s">
        <v>288</v>
      </c>
      <c r="G37" s="3" t="s">
        <v>289</v>
      </c>
      <c r="H37" s="3" t="s">
        <v>290</v>
      </c>
      <c r="I37" s="3" t="s">
        <v>394</v>
      </c>
      <c r="J37" s="3" t="s">
        <v>395</v>
      </c>
      <c r="K37" s="3" t="s">
        <v>10</v>
      </c>
      <c r="L37" s="3" t="s">
        <v>396</v>
      </c>
      <c r="M37" s="3" t="s">
        <v>397</v>
      </c>
      <c r="N37" s="6" t="s">
        <v>226</v>
      </c>
      <c r="O37" s="3" t="s">
        <v>227</v>
      </c>
      <c r="P37" s="3" t="s">
        <v>398</v>
      </c>
      <c r="Q37" s="5" t="str">
        <f aca="false">HYPERLINK("Firmware_Change_Review.md#e-030","Open E-030")</f>
        <v>Open E-030</v>
      </c>
      <c r="R37" s="3" t="s">
        <v>88</v>
      </c>
      <c r="S37" s="3" t="s">
        <v>399</v>
      </c>
    </row>
    <row r="38" customFormat="false" ht="90" hidden="false" customHeight="true" outlineLevel="0" collapsed="false">
      <c r="A38" s="3" t="s">
        <v>89</v>
      </c>
      <c r="B38" s="3" t="s">
        <v>400</v>
      </c>
      <c r="C38" s="3" t="s">
        <v>90</v>
      </c>
      <c r="D38" s="3" t="s">
        <v>24</v>
      </c>
      <c r="E38" s="3" t="s">
        <v>234</v>
      </c>
      <c r="F38" s="3" t="s">
        <v>401</v>
      </c>
      <c r="G38" s="3" t="s">
        <v>402</v>
      </c>
      <c r="H38" s="3" t="s">
        <v>220</v>
      </c>
      <c r="I38" s="3" t="s">
        <v>403</v>
      </c>
      <c r="J38" s="3" t="s">
        <v>326</v>
      </c>
      <c r="K38" s="3" t="s">
        <v>11</v>
      </c>
      <c r="L38" s="3" t="s">
        <v>327</v>
      </c>
      <c r="M38" s="3" t="s">
        <v>328</v>
      </c>
      <c r="N38" s="6" t="s">
        <v>226</v>
      </c>
      <c r="O38" s="3" t="s">
        <v>295</v>
      </c>
      <c r="P38" s="3" t="s">
        <v>404</v>
      </c>
      <c r="Q38" s="5" t="str">
        <f aca="false">HYPERLINK("Firmware_Change_Review.md#e-031","Open E-031")</f>
        <v>Open E-031</v>
      </c>
      <c r="R38" s="3" t="s">
        <v>61</v>
      </c>
      <c r="S38" s="3" t="s">
        <v>330</v>
      </c>
    </row>
    <row r="39" customFormat="false" ht="90" hidden="false" customHeight="true" outlineLevel="0" collapsed="false">
      <c r="A39" s="3" t="s">
        <v>91</v>
      </c>
      <c r="B39" s="3" t="s">
        <v>405</v>
      </c>
      <c r="C39" s="3" t="s">
        <v>90</v>
      </c>
      <c r="D39" s="3" t="s">
        <v>27</v>
      </c>
      <c r="E39" s="3" t="s">
        <v>218</v>
      </c>
      <c r="F39" s="3" t="s">
        <v>406</v>
      </c>
      <c r="G39" s="3" t="s">
        <v>407</v>
      </c>
      <c r="H39" s="3" t="s">
        <v>220</v>
      </c>
      <c r="I39" s="3" t="s">
        <v>408</v>
      </c>
      <c r="J39" s="3" t="s">
        <v>409</v>
      </c>
      <c r="K39" s="3" t="s">
        <v>10</v>
      </c>
      <c r="L39" s="3" t="s">
        <v>410</v>
      </c>
      <c r="M39" s="3" t="s">
        <v>411</v>
      </c>
      <c r="N39" s="6" t="s">
        <v>226</v>
      </c>
      <c r="O39" s="3" t="s">
        <v>227</v>
      </c>
      <c r="P39" s="3" t="s">
        <v>412</v>
      </c>
      <c r="Q39" s="5" t="str">
        <f aca="false">HYPERLINK("Firmware_Change_Review.md#e-032","Open E-032")</f>
        <v>Open E-032</v>
      </c>
      <c r="R39" s="3" t="s">
        <v>92</v>
      </c>
      <c r="S39" s="3" t="s">
        <v>413</v>
      </c>
    </row>
    <row r="40" customFormat="false" ht="110" hidden="false" customHeight="true" outlineLevel="0" collapsed="false">
      <c r="A40" s="3" t="s">
        <v>93</v>
      </c>
      <c r="B40" s="3" t="s">
        <v>414</v>
      </c>
      <c r="C40" s="3" t="s">
        <v>94</v>
      </c>
      <c r="D40" s="3" t="s">
        <v>24</v>
      </c>
      <c r="E40" s="3" t="s">
        <v>265</v>
      </c>
      <c r="F40" s="3" t="s">
        <v>415</v>
      </c>
      <c r="G40" s="3" t="s">
        <v>416</v>
      </c>
      <c r="H40" s="3" t="s">
        <v>417</v>
      </c>
      <c r="I40" s="3" t="s">
        <v>418</v>
      </c>
      <c r="J40" s="3" t="s">
        <v>419</v>
      </c>
      <c r="K40" s="3" t="s">
        <v>6</v>
      </c>
      <c r="L40" s="3" t="s">
        <v>420</v>
      </c>
      <c r="M40" s="3" t="s">
        <v>421</v>
      </c>
      <c r="N40" s="6" t="s">
        <v>226</v>
      </c>
      <c r="O40" s="3" t="s">
        <v>227</v>
      </c>
      <c r="P40" s="3" t="s">
        <v>422</v>
      </c>
      <c r="Q40" s="5" t="str">
        <f aca="false">HYPERLINK("Firmware_Change_Review.md#f-001","Open F-001")</f>
        <v>Open F-001</v>
      </c>
      <c r="R40" s="3" t="s">
        <v>95</v>
      </c>
      <c r="S40" s="3" t="s">
        <v>260</v>
      </c>
    </row>
    <row r="41" customFormat="false" ht="122.5" hidden="false" customHeight="true" outlineLevel="0" collapsed="false">
      <c r="A41" s="3" t="s">
        <v>96</v>
      </c>
      <c r="B41" s="3" t="s">
        <v>423</v>
      </c>
      <c r="C41" s="3" t="s">
        <v>94</v>
      </c>
      <c r="D41" s="3" t="s">
        <v>27</v>
      </c>
      <c r="E41" s="3" t="s">
        <v>265</v>
      </c>
      <c r="F41" s="3" t="s">
        <v>424</v>
      </c>
      <c r="G41" s="3" t="s">
        <v>425</v>
      </c>
      <c r="H41" s="3" t="s">
        <v>426</v>
      </c>
      <c r="I41" s="3" t="s">
        <v>427</v>
      </c>
      <c r="J41" s="3" t="s">
        <v>428</v>
      </c>
      <c r="K41" s="3" t="s">
        <v>6</v>
      </c>
      <c r="L41" s="3" t="s">
        <v>429</v>
      </c>
      <c r="M41" s="3" t="s">
        <v>430</v>
      </c>
      <c r="N41" s="6" t="s">
        <v>226</v>
      </c>
      <c r="O41" s="3" t="s">
        <v>227</v>
      </c>
      <c r="P41" s="3" t="s">
        <v>431</v>
      </c>
      <c r="Q41" s="5" t="str">
        <f aca="false">HYPERLINK("Firmware_Change_Review.md#f-002","Open F-002")</f>
        <v>Open F-002</v>
      </c>
      <c r="R41" s="3" t="s">
        <v>97</v>
      </c>
      <c r="S41" s="3" t="s">
        <v>432</v>
      </c>
    </row>
    <row r="42" customFormat="false" ht="122.5" hidden="false" customHeight="true" outlineLevel="0" collapsed="false">
      <c r="A42" s="3" t="s">
        <v>98</v>
      </c>
      <c r="B42" s="3" t="s">
        <v>423</v>
      </c>
      <c r="C42" s="3" t="s">
        <v>94</v>
      </c>
      <c r="D42" s="3" t="s">
        <v>27</v>
      </c>
      <c r="E42" s="3" t="s">
        <v>234</v>
      </c>
      <c r="F42" s="3" t="s">
        <v>424</v>
      </c>
      <c r="G42" s="3" t="s">
        <v>425</v>
      </c>
      <c r="H42" s="3" t="s">
        <v>426</v>
      </c>
      <c r="I42" s="3" t="s">
        <v>433</v>
      </c>
      <c r="J42" s="3" t="s">
        <v>434</v>
      </c>
      <c r="K42" s="3" t="s">
        <v>10</v>
      </c>
      <c r="L42" s="3" t="s">
        <v>435</v>
      </c>
      <c r="M42" s="3" t="s">
        <v>436</v>
      </c>
      <c r="N42" s="6" t="s">
        <v>226</v>
      </c>
      <c r="O42" s="3" t="s">
        <v>227</v>
      </c>
      <c r="P42" s="3" t="s">
        <v>431</v>
      </c>
      <c r="Q42" s="5" t="str">
        <f aca="false">HYPERLINK("Firmware_Change_Review.md#f-002a","Open F-002A")</f>
        <v>Open F-002A</v>
      </c>
      <c r="R42" s="3" t="s">
        <v>99</v>
      </c>
      <c r="S42" s="3" t="s">
        <v>432</v>
      </c>
    </row>
    <row r="43" customFormat="false" ht="122.5" hidden="false" customHeight="true" outlineLevel="0" collapsed="false">
      <c r="A43" s="3" t="s">
        <v>100</v>
      </c>
      <c r="B43" s="3" t="s">
        <v>437</v>
      </c>
      <c r="C43" s="3" t="s">
        <v>101</v>
      </c>
      <c r="D43" s="3" t="s">
        <v>27</v>
      </c>
      <c r="E43" s="3" t="s">
        <v>218</v>
      </c>
      <c r="F43" s="3" t="s">
        <v>438</v>
      </c>
      <c r="G43" s="3" t="s">
        <v>439</v>
      </c>
      <c r="H43" s="3" t="s">
        <v>440</v>
      </c>
      <c r="I43" s="3" t="s">
        <v>441</v>
      </c>
      <c r="J43" s="3" t="s">
        <v>442</v>
      </c>
      <c r="K43" s="3" t="s">
        <v>6</v>
      </c>
      <c r="L43" s="3" t="s">
        <v>443</v>
      </c>
      <c r="M43" s="3" t="s">
        <v>444</v>
      </c>
      <c r="N43" s="6" t="s">
        <v>226</v>
      </c>
      <c r="O43" s="3" t="s">
        <v>227</v>
      </c>
      <c r="P43" s="3" t="s">
        <v>445</v>
      </c>
      <c r="Q43" s="5" t="str">
        <f aca="false">HYPERLINK("Firmware_Change_Review.md#f-003","Open F-003")</f>
        <v>Open F-003</v>
      </c>
      <c r="R43" s="3" t="s">
        <v>102</v>
      </c>
      <c r="S43" s="3" t="s">
        <v>446</v>
      </c>
    </row>
    <row r="44" customFormat="false" ht="97.5" hidden="false" customHeight="true" outlineLevel="0" collapsed="false">
      <c r="A44" s="3" t="s">
        <v>103</v>
      </c>
      <c r="B44" s="3" t="s">
        <v>447</v>
      </c>
      <c r="C44" s="3" t="s">
        <v>104</v>
      </c>
      <c r="D44" s="3" t="s">
        <v>27</v>
      </c>
      <c r="E44" s="3" t="s">
        <v>218</v>
      </c>
      <c r="F44" s="3" t="s">
        <v>448</v>
      </c>
      <c r="G44" s="3" t="s">
        <v>449</v>
      </c>
      <c r="H44" s="3" t="s">
        <v>450</v>
      </c>
      <c r="I44" s="3" t="s">
        <v>451</v>
      </c>
      <c r="J44" s="3" t="s">
        <v>452</v>
      </c>
      <c r="K44" s="3" t="s">
        <v>6</v>
      </c>
      <c r="L44" s="3" t="s">
        <v>453</v>
      </c>
      <c r="M44" s="3" t="s">
        <v>444</v>
      </c>
      <c r="N44" s="6" t="s">
        <v>226</v>
      </c>
      <c r="O44" s="3" t="s">
        <v>227</v>
      </c>
      <c r="P44" s="3" t="s">
        <v>454</v>
      </c>
      <c r="Q44" s="5" t="str">
        <f aca="false">HYPERLINK("Firmware_Change_Review.md#f-004","Open F-004")</f>
        <v>Open F-004</v>
      </c>
      <c r="R44" s="3" t="s">
        <v>102</v>
      </c>
      <c r="S44" s="3" t="s">
        <v>260</v>
      </c>
    </row>
    <row r="45" customFormat="false" ht="97.5" hidden="false" customHeight="true" outlineLevel="0" collapsed="false">
      <c r="A45" s="3" t="s">
        <v>105</v>
      </c>
      <c r="B45" s="3" t="s">
        <v>447</v>
      </c>
      <c r="C45" s="3" t="s">
        <v>106</v>
      </c>
      <c r="D45" s="3" t="s">
        <v>27</v>
      </c>
      <c r="E45" s="3" t="s">
        <v>218</v>
      </c>
      <c r="F45" s="3" t="s">
        <v>455</v>
      </c>
      <c r="G45" s="3" t="s">
        <v>449</v>
      </c>
      <c r="H45" s="3" t="s">
        <v>450</v>
      </c>
      <c r="I45" s="3" t="s">
        <v>451</v>
      </c>
      <c r="J45" s="3" t="s">
        <v>452</v>
      </c>
      <c r="K45" s="3" t="s">
        <v>6</v>
      </c>
      <c r="L45" s="3" t="s">
        <v>453</v>
      </c>
      <c r="M45" s="3" t="s">
        <v>444</v>
      </c>
      <c r="N45" s="6" t="s">
        <v>226</v>
      </c>
      <c r="O45" s="3" t="s">
        <v>227</v>
      </c>
      <c r="P45" s="3" t="s">
        <v>456</v>
      </c>
      <c r="Q45" s="5" t="str">
        <f aca="false">HYPERLINK("Firmware_Change_Review.md#f-005","Open F-005")</f>
        <v>Open F-005</v>
      </c>
      <c r="R45" s="3" t="s">
        <v>102</v>
      </c>
      <c r="S45" s="3" t="s">
        <v>260</v>
      </c>
    </row>
    <row r="46" customFormat="false" ht="97.5" hidden="false" customHeight="true" outlineLevel="0" collapsed="false">
      <c r="A46" s="3" t="s">
        <v>107</v>
      </c>
      <c r="B46" s="3" t="s">
        <v>447</v>
      </c>
      <c r="C46" s="3" t="s">
        <v>108</v>
      </c>
      <c r="D46" s="3" t="s">
        <v>27</v>
      </c>
      <c r="E46" s="3" t="s">
        <v>218</v>
      </c>
      <c r="F46" s="3" t="s">
        <v>457</v>
      </c>
      <c r="G46" s="3" t="s">
        <v>449</v>
      </c>
      <c r="H46" s="3" t="s">
        <v>450</v>
      </c>
      <c r="I46" s="3" t="s">
        <v>451</v>
      </c>
      <c r="J46" s="3" t="s">
        <v>452</v>
      </c>
      <c r="K46" s="3" t="s">
        <v>6</v>
      </c>
      <c r="L46" s="3" t="s">
        <v>453</v>
      </c>
      <c r="M46" s="3" t="s">
        <v>444</v>
      </c>
      <c r="N46" s="6" t="s">
        <v>226</v>
      </c>
      <c r="O46" s="3" t="s">
        <v>227</v>
      </c>
      <c r="P46" s="3" t="s">
        <v>458</v>
      </c>
      <c r="Q46" s="5" t="str">
        <f aca="false">HYPERLINK("Firmware_Change_Review.md#f-006","Open F-006")</f>
        <v>Open F-006</v>
      </c>
      <c r="R46" s="3" t="s">
        <v>102</v>
      </c>
      <c r="S46" s="3" t="s">
        <v>260</v>
      </c>
    </row>
    <row r="47" customFormat="false" ht="110" hidden="false" customHeight="true" outlineLevel="0" collapsed="false">
      <c r="A47" s="3" t="s">
        <v>109</v>
      </c>
      <c r="B47" s="3" t="s">
        <v>459</v>
      </c>
      <c r="C47" s="3" t="s">
        <v>110</v>
      </c>
      <c r="D47" s="3" t="s">
        <v>24</v>
      </c>
      <c r="E47" s="3" t="s">
        <v>265</v>
      </c>
      <c r="F47" s="3" t="s">
        <v>460</v>
      </c>
      <c r="G47" s="3" t="s">
        <v>461</v>
      </c>
      <c r="H47" s="3" t="s">
        <v>462</v>
      </c>
      <c r="I47" s="3" t="s">
        <v>463</v>
      </c>
      <c r="J47" s="3" t="s">
        <v>464</v>
      </c>
      <c r="K47" s="3" t="s">
        <v>6</v>
      </c>
      <c r="L47" s="3" t="s">
        <v>465</v>
      </c>
      <c r="M47" s="3" t="s">
        <v>466</v>
      </c>
      <c r="N47" s="6" t="s">
        <v>226</v>
      </c>
      <c r="O47" s="3" t="s">
        <v>227</v>
      </c>
      <c r="P47" s="3" t="s">
        <v>467</v>
      </c>
      <c r="Q47" s="5" t="str">
        <f aca="false">HYPERLINK("Firmware_Change_Review.md#f-007","Open F-007")</f>
        <v>Open F-007</v>
      </c>
      <c r="R47" s="3" t="s">
        <v>111</v>
      </c>
      <c r="S47" s="3" t="s">
        <v>468</v>
      </c>
    </row>
    <row r="48" customFormat="false" ht="110" hidden="false" customHeight="true" outlineLevel="0" collapsed="false">
      <c r="A48" s="3" t="s">
        <v>112</v>
      </c>
      <c r="B48" s="3" t="s">
        <v>469</v>
      </c>
      <c r="C48" s="3" t="s">
        <v>113</v>
      </c>
      <c r="D48" s="3" t="s">
        <v>33</v>
      </c>
      <c r="E48" s="3" t="s">
        <v>234</v>
      </c>
      <c r="F48" s="3" t="s">
        <v>470</v>
      </c>
      <c r="G48" s="3" t="s">
        <v>471</v>
      </c>
      <c r="H48" s="3" t="s">
        <v>471</v>
      </c>
      <c r="I48" s="3" t="s">
        <v>472</v>
      </c>
      <c r="J48" s="3" t="s">
        <v>473</v>
      </c>
      <c r="K48" s="3" t="s">
        <v>11</v>
      </c>
      <c r="L48" s="3" t="s">
        <v>474</v>
      </c>
      <c r="M48" s="3" t="s">
        <v>475</v>
      </c>
      <c r="N48" s="6" t="s">
        <v>226</v>
      </c>
      <c r="O48" s="3" t="s">
        <v>295</v>
      </c>
      <c r="P48" s="3" t="s">
        <v>476</v>
      </c>
      <c r="Q48" s="5" t="str">
        <f aca="false">HYPERLINK("Firmware_Change_Review.md#f-008","Open F-008")</f>
        <v>Open F-008</v>
      </c>
      <c r="R48" s="3" t="s">
        <v>114</v>
      </c>
      <c r="S48" s="3" t="s">
        <v>477</v>
      </c>
    </row>
    <row r="49" customFormat="false" ht="110" hidden="false" customHeight="true" outlineLevel="0" collapsed="false">
      <c r="A49" s="3" t="s">
        <v>115</v>
      </c>
      <c r="B49" s="3" t="s">
        <v>469</v>
      </c>
      <c r="C49" s="3" t="s">
        <v>113</v>
      </c>
      <c r="D49" s="3" t="s">
        <v>33</v>
      </c>
      <c r="E49" s="3" t="s">
        <v>265</v>
      </c>
      <c r="F49" s="3" t="s">
        <v>470</v>
      </c>
      <c r="G49" s="3" t="s">
        <v>471</v>
      </c>
      <c r="H49" s="3" t="s">
        <v>471</v>
      </c>
      <c r="I49" s="3" t="s">
        <v>478</v>
      </c>
      <c r="J49" s="3" t="s">
        <v>479</v>
      </c>
      <c r="K49" s="3" t="s">
        <v>10</v>
      </c>
      <c r="L49" s="3" t="s">
        <v>480</v>
      </c>
      <c r="M49" s="3" t="s">
        <v>481</v>
      </c>
      <c r="N49" s="6" t="s">
        <v>226</v>
      </c>
      <c r="O49" s="3" t="s">
        <v>227</v>
      </c>
      <c r="P49" s="3" t="s">
        <v>476</v>
      </c>
      <c r="Q49" s="5" t="str">
        <f aca="false">HYPERLINK("Firmware_Change_Review.md#f-008a","Open F-008A")</f>
        <v>Open F-008A</v>
      </c>
      <c r="R49" s="3" t="s">
        <v>116</v>
      </c>
      <c r="S49" s="3" t="s">
        <v>482</v>
      </c>
    </row>
    <row r="50" customFormat="false" ht="147.5" hidden="false" customHeight="true" outlineLevel="0" collapsed="false">
      <c r="A50" s="3" t="s">
        <v>117</v>
      </c>
      <c r="B50" s="3" t="s">
        <v>483</v>
      </c>
      <c r="C50" s="3" t="s">
        <v>118</v>
      </c>
      <c r="D50" s="3" t="s">
        <v>27</v>
      </c>
      <c r="E50" s="3" t="s">
        <v>265</v>
      </c>
      <c r="F50" s="3" t="s">
        <v>484</v>
      </c>
      <c r="G50" s="3" t="s">
        <v>485</v>
      </c>
      <c r="H50" s="3" t="s">
        <v>486</v>
      </c>
      <c r="I50" s="3" t="s">
        <v>487</v>
      </c>
      <c r="J50" s="3" t="s">
        <v>488</v>
      </c>
      <c r="K50" s="3" t="s">
        <v>6</v>
      </c>
      <c r="L50" s="3" t="s">
        <v>489</v>
      </c>
      <c r="M50" s="3" t="s">
        <v>490</v>
      </c>
      <c r="N50" s="6" t="s">
        <v>226</v>
      </c>
      <c r="O50" s="3" t="s">
        <v>227</v>
      </c>
      <c r="P50" s="3" t="s">
        <v>491</v>
      </c>
      <c r="Q50" s="5" t="str">
        <f aca="false">HYPERLINK("Firmware_Change_Review.md#f-009","Open F-009")</f>
        <v>Open F-009</v>
      </c>
      <c r="R50" s="3" t="s">
        <v>119</v>
      </c>
      <c r="S50" s="3" t="s">
        <v>492</v>
      </c>
    </row>
    <row r="51" customFormat="false" ht="147.5" hidden="false" customHeight="true" outlineLevel="0" collapsed="false">
      <c r="A51" s="3" t="s">
        <v>120</v>
      </c>
      <c r="B51" s="3" t="s">
        <v>483</v>
      </c>
      <c r="C51" s="3" t="s">
        <v>118</v>
      </c>
      <c r="D51" s="3" t="s">
        <v>27</v>
      </c>
      <c r="E51" s="3" t="s">
        <v>265</v>
      </c>
      <c r="F51" s="3" t="s">
        <v>493</v>
      </c>
      <c r="G51" s="3" t="s">
        <v>494</v>
      </c>
      <c r="H51" s="3" t="s">
        <v>495</v>
      </c>
      <c r="I51" s="3" t="s">
        <v>496</v>
      </c>
      <c r="J51" s="3" t="s">
        <v>497</v>
      </c>
      <c r="K51" s="3" t="s">
        <v>10</v>
      </c>
      <c r="L51" s="3" t="s">
        <v>498</v>
      </c>
      <c r="M51" s="3" t="s">
        <v>499</v>
      </c>
      <c r="N51" s="6" t="s">
        <v>226</v>
      </c>
      <c r="O51" s="3" t="s">
        <v>227</v>
      </c>
      <c r="P51" s="3" t="s">
        <v>491</v>
      </c>
      <c r="Q51" s="5" t="str">
        <f aca="false">HYPERLINK("Firmware_Change_Review.md#f-009a","Open F-009A")</f>
        <v>Open F-009A</v>
      </c>
      <c r="R51" s="3" t="s">
        <v>121</v>
      </c>
      <c r="S51" s="3" t="s">
        <v>492</v>
      </c>
    </row>
    <row r="52" customFormat="false" ht="235" hidden="false" customHeight="true" outlineLevel="0" collapsed="false">
      <c r="A52" s="3" t="s">
        <v>122</v>
      </c>
      <c r="B52" s="3" t="s">
        <v>483</v>
      </c>
      <c r="C52" s="3" t="s">
        <v>118</v>
      </c>
      <c r="D52" s="3" t="s">
        <v>27</v>
      </c>
      <c r="E52" s="3" t="s">
        <v>265</v>
      </c>
      <c r="F52" s="3" t="s">
        <v>500</v>
      </c>
      <c r="G52" s="3" t="s">
        <v>501</v>
      </c>
      <c r="H52" s="3" t="s">
        <v>495</v>
      </c>
      <c r="I52" s="3" t="s">
        <v>502</v>
      </c>
      <c r="J52" s="3" t="s">
        <v>503</v>
      </c>
      <c r="K52" s="3" t="s">
        <v>10</v>
      </c>
      <c r="L52" s="3" t="s">
        <v>504</v>
      </c>
      <c r="M52" s="3" t="s">
        <v>505</v>
      </c>
      <c r="N52" s="6" t="s">
        <v>226</v>
      </c>
      <c r="O52" s="3" t="s">
        <v>227</v>
      </c>
      <c r="P52" s="3" t="s">
        <v>491</v>
      </c>
      <c r="Q52" s="5" t="str">
        <f aca="false">HYPERLINK("Firmware_Change_Review.md#f-009b","Open F-009B")</f>
        <v>Open F-009B</v>
      </c>
      <c r="R52" s="3" t="s">
        <v>123</v>
      </c>
      <c r="S52" s="3" t="s">
        <v>492</v>
      </c>
    </row>
    <row r="53" customFormat="false" ht="110" hidden="false" customHeight="true" outlineLevel="0" collapsed="false">
      <c r="A53" s="3" t="s">
        <v>124</v>
      </c>
      <c r="B53" s="3" t="s">
        <v>506</v>
      </c>
      <c r="C53" s="3" t="s">
        <v>125</v>
      </c>
      <c r="D53" s="3" t="s">
        <v>27</v>
      </c>
      <c r="E53" s="3" t="s">
        <v>234</v>
      </c>
      <c r="F53" s="3" t="s">
        <v>507</v>
      </c>
      <c r="G53" s="3" t="s">
        <v>495</v>
      </c>
      <c r="H53" s="3" t="s">
        <v>508</v>
      </c>
      <c r="I53" s="3" t="s">
        <v>509</v>
      </c>
      <c r="J53" s="3" t="s">
        <v>510</v>
      </c>
      <c r="K53" s="3" t="s">
        <v>11</v>
      </c>
      <c r="L53" s="3" t="s">
        <v>511</v>
      </c>
      <c r="M53" s="3" t="s">
        <v>512</v>
      </c>
      <c r="N53" s="6" t="s">
        <v>226</v>
      </c>
      <c r="O53" s="3" t="s">
        <v>295</v>
      </c>
      <c r="P53" s="3" t="s">
        <v>513</v>
      </c>
      <c r="Q53" s="5" t="str">
        <f aca="false">HYPERLINK("Firmware_Change_Review.md#f-010","Open F-010")</f>
        <v>Open F-010</v>
      </c>
      <c r="R53" s="3" t="s">
        <v>126</v>
      </c>
      <c r="S53" s="3" t="s">
        <v>514</v>
      </c>
    </row>
    <row r="54" customFormat="false" ht="409" hidden="false" customHeight="true" outlineLevel="0" collapsed="false">
      <c r="A54" s="3" t="s">
        <v>127</v>
      </c>
      <c r="B54" s="3" t="s">
        <v>515</v>
      </c>
      <c r="C54" s="3" t="s">
        <v>128</v>
      </c>
      <c r="D54" s="3" t="s">
        <v>27</v>
      </c>
      <c r="E54" s="3" t="s">
        <v>234</v>
      </c>
      <c r="F54" s="3" t="s">
        <v>516</v>
      </c>
      <c r="G54" s="3" t="s">
        <v>517</v>
      </c>
      <c r="H54" s="3" t="s">
        <v>518</v>
      </c>
      <c r="I54" s="3" t="s">
        <v>519</v>
      </c>
      <c r="J54" s="3" t="s">
        <v>520</v>
      </c>
      <c r="K54" s="3" t="s">
        <v>10</v>
      </c>
      <c r="L54" s="3" t="s">
        <v>521</v>
      </c>
      <c r="M54" s="3" t="s">
        <v>522</v>
      </c>
      <c r="N54" s="6" t="s">
        <v>226</v>
      </c>
      <c r="O54" s="3" t="s">
        <v>227</v>
      </c>
      <c r="P54" s="3" t="s">
        <v>523</v>
      </c>
      <c r="Q54" s="5" t="str">
        <f aca="false">HYPERLINK("Firmware_Change_Review.md#f-011","Open F-011")</f>
        <v>Open F-011</v>
      </c>
      <c r="R54" s="3" t="s">
        <v>129</v>
      </c>
      <c r="S54" s="3" t="s">
        <v>524</v>
      </c>
    </row>
    <row r="55" customFormat="false" ht="147.5" hidden="false" customHeight="true" outlineLevel="0" collapsed="false">
      <c r="A55" s="3" t="s">
        <v>130</v>
      </c>
      <c r="B55" s="3" t="s">
        <v>525</v>
      </c>
      <c r="C55" s="3" t="s">
        <v>131</v>
      </c>
      <c r="D55" s="3" t="s">
        <v>27</v>
      </c>
      <c r="E55" s="3" t="s">
        <v>218</v>
      </c>
      <c r="F55" s="3" t="s">
        <v>526</v>
      </c>
      <c r="G55" s="3" t="s">
        <v>527</v>
      </c>
      <c r="H55" s="3" t="s">
        <v>528</v>
      </c>
      <c r="I55" s="3" t="s">
        <v>529</v>
      </c>
      <c r="J55" s="3" t="s">
        <v>530</v>
      </c>
      <c r="K55" s="3" t="s">
        <v>6</v>
      </c>
      <c r="L55" s="3" t="s">
        <v>531</v>
      </c>
      <c r="M55" s="3" t="s">
        <v>532</v>
      </c>
      <c r="N55" s="6" t="s">
        <v>226</v>
      </c>
      <c r="O55" s="3" t="s">
        <v>227</v>
      </c>
      <c r="P55" s="3" t="s">
        <v>533</v>
      </c>
      <c r="Q55" s="5" t="str">
        <f aca="false">HYPERLINK("Firmware_Change_Review.md#f-012","Open F-012")</f>
        <v>Open F-012</v>
      </c>
      <c r="R55" s="3" t="s">
        <v>132</v>
      </c>
      <c r="S55" s="3" t="s">
        <v>534</v>
      </c>
    </row>
    <row r="56" customFormat="false" ht="147.5" hidden="false" customHeight="true" outlineLevel="0" collapsed="false">
      <c r="A56" s="3" t="s">
        <v>133</v>
      </c>
      <c r="B56" s="3" t="s">
        <v>525</v>
      </c>
      <c r="C56" s="3" t="s">
        <v>131</v>
      </c>
      <c r="D56" s="3" t="s">
        <v>27</v>
      </c>
      <c r="E56" s="3" t="s">
        <v>265</v>
      </c>
      <c r="F56" s="3" t="s">
        <v>526</v>
      </c>
      <c r="G56" s="3" t="s">
        <v>527</v>
      </c>
      <c r="H56" s="3" t="s">
        <v>528</v>
      </c>
      <c r="I56" s="3" t="s">
        <v>535</v>
      </c>
      <c r="J56" s="3" t="s">
        <v>536</v>
      </c>
      <c r="K56" s="3" t="s">
        <v>10</v>
      </c>
      <c r="L56" s="3" t="s">
        <v>537</v>
      </c>
      <c r="M56" s="3" t="s">
        <v>538</v>
      </c>
      <c r="N56" s="6" t="s">
        <v>226</v>
      </c>
      <c r="O56" s="3" t="s">
        <v>227</v>
      </c>
      <c r="P56" s="3" t="s">
        <v>533</v>
      </c>
      <c r="Q56" s="5" t="str">
        <f aca="false">HYPERLINK("Firmware_Change_Review.md#f-012a","Open F-012A")</f>
        <v>Open F-012A</v>
      </c>
      <c r="R56" s="3" t="s">
        <v>134</v>
      </c>
      <c r="S56" s="3" t="s">
        <v>534</v>
      </c>
    </row>
    <row r="57" customFormat="false" ht="247.5" hidden="false" customHeight="true" outlineLevel="0" collapsed="false">
      <c r="A57" s="3" t="s">
        <v>135</v>
      </c>
      <c r="B57" s="3" t="s">
        <v>539</v>
      </c>
      <c r="C57" s="3" t="s">
        <v>136</v>
      </c>
      <c r="D57" s="3" t="s">
        <v>27</v>
      </c>
      <c r="E57" s="3" t="s">
        <v>265</v>
      </c>
      <c r="F57" s="3" t="s">
        <v>540</v>
      </c>
      <c r="G57" s="3" t="s">
        <v>541</v>
      </c>
      <c r="H57" s="3" t="s">
        <v>542</v>
      </c>
      <c r="I57" s="3" t="s">
        <v>543</v>
      </c>
      <c r="J57" s="3" t="s">
        <v>544</v>
      </c>
      <c r="K57" s="3" t="s">
        <v>7</v>
      </c>
      <c r="L57" s="3" t="s">
        <v>545</v>
      </c>
      <c r="M57" s="3" t="s">
        <v>546</v>
      </c>
      <c r="N57" s="6" t="s">
        <v>226</v>
      </c>
      <c r="O57" s="3" t="s">
        <v>227</v>
      </c>
      <c r="P57" s="3" t="s">
        <v>547</v>
      </c>
      <c r="Q57" s="5" t="str">
        <f aca="false">HYPERLINK("Firmware_Change_Review.md#f-013","Open F-013")</f>
        <v>Open F-013</v>
      </c>
      <c r="R57" s="3" t="s">
        <v>137</v>
      </c>
      <c r="S57" s="3" t="s">
        <v>548</v>
      </c>
    </row>
    <row r="58" customFormat="false" ht="122.5" hidden="false" customHeight="true" outlineLevel="0" collapsed="false">
      <c r="A58" s="3" t="s">
        <v>138</v>
      </c>
      <c r="B58" s="3" t="s">
        <v>539</v>
      </c>
      <c r="C58" s="3" t="s">
        <v>136</v>
      </c>
      <c r="D58" s="3" t="s">
        <v>27</v>
      </c>
      <c r="E58" s="3" t="s">
        <v>218</v>
      </c>
      <c r="F58" s="3" t="s">
        <v>549</v>
      </c>
      <c r="G58" s="3" t="s">
        <v>495</v>
      </c>
      <c r="H58" s="3" t="s">
        <v>550</v>
      </c>
      <c r="I58" s="3" t="s">
        <v>551</v>
      </c>
      <c r="J58" s="3" t="s">
        <v>552</v>
      </c>
      <c r="K58" s="3" t="s">
        <v>6</v>
      </c>
      <c r="L58" s="3" t="s">
        <v>553</v>
      </c>
      <c r="M58" s="3" t="s">
        <v>554</v>
      </c>
      <c r="N58" s="6" t="s">
        <v>226</v>
      </c>
      <c r="O58" s="3" t="s">
        <v>227</v>
      </c>
      <c r="P58" s="3" t="s">
        <v>547</v>
      </c>
      <c r="Q58" s="5" t="str">
        <f aca="false">HYPERLINK("Firmware_Change_Review.md#f-013a","Open F-013A")</f>
        <v>Open F-013A</v>
      </c>
      <c r="R58" s="3" t="s">
        <v>139</v>
      </c>
      <c r="S58" s="3" t="s">
        <v>555</v>
      </c>
    </row>
    <row r="59" customFormat="false" ht="360" hidden="false" customHeight="true" outlineLevel="0" collapsed="false">
      <c r="A59" s="3" t="s">
        <v>140</v>
      </c>
      <c r="B59" s="3" t="s">
        <v>539</v>
      </c>
      <c r="C59" s="3" t="s">
        <v>136</v>
      </c>
      <c r="D59" s="3" t="s">
        <v>27</v>
      </c>
      <c r="E59" s="3" t="s">
        <v>218</v>
      </c>
      <c r="F59" s="3" t="s">
        <v>556</v>
      </c>
      <c r="G59" s="3" t="s">
        <v>557</v>
      </c>
      <c r="H59" s="3" t="s">
        <v>558</v>
      </c>
      <c r="I59" s="3" t="s">
        <v>559</v>
      </c>
      <c r="J59" s="3" t="s">
        <v>560</v>
      </c>
      <c r="K59" s="3" t="s">
        <v>6</v>
      </c>
      <c r="L59" s="3" t="s">
        <v>561</v>
      </c>
      <c r="M59" s="3" t="s">
        <v>562</v>
      </c>
      <c r="N59" s="6" t="s">
        <v>226</v>
      </c>
      <c r="O59" s="3" t="s">
        <v>227</v>
      </c>
      <c r="P59" s="3" t="s">
        <v>547</v>
      </c>
      <c r="Q59" s="5" t="str">
        <f aca="false">HYPERLINK("Firmware_Change_Review.md#f-013b","Open F-013B")</f>
        <v>Open F-013B</v>
      </c>
      <c r="R59" s="3" t="s">
        <v>141</v>
      </c>
      <c r="S59" s="3" t="s">
        <v>555</v>
      </c>
    </row>
    <row r="60" customFormat="false" ht="122.5" hidden="false" customHeight="true" outlineLevel="0" collapsed="false">
      <c r="A60" s="3" t="s">
        <v>142</v>
      </c>
      <c r="B60" s="3" t="s">
        <v>563</v>
      </c>
      <c r="C60" s="3" t="s">
        <v>143</v>
      </c>
      <c r="D60" s="3" t="s">
        <v>24</v>
      </c>
      <c r="E60" s="3" t="s">
        <v>218</v>
      </c>
      <c r="F60" s="3" t="s">
        <v>564</v>
      </c>
      <c r="G60" s="3" t="s">
        <v>565</v>
      </c>
      <c r="H60" s="3" t="s">
        <v>565</v>
      </c>
      <c r="I60" s="3" t="s">
        <v>566</v>
      </c>
      <c r="J60" s="3" t="s">
        <v>567</v>
      </c>
      <c r="K60" s="3" t="s">
        <v>11</v>
      </c>
      <c r="L60" s="3" t="s">
        <v>568</v>
      </c>
      <c r="M60" s="3" t="s">
        <v>569</v>
      </c>
      <c r="N60" s="6" t="s">
        <v>226</v>
      </c>
      <c r="O60" s="3" t="s">
        <v>295</v>
      </c>
      <c r="P60" s="3" t="s">
        <v>570</v>
      </c>
      <c r="Q60" s="5" t="str">
        <f aca="false">HYPERLINK("Firmware_Change_Review.md#f-014","Open F-014")</f>
        <v>Open F-014</v>
      </c>
      <c r="R60" s="3" t="s">
        <v>144</v>
      </c>
      <c r="S60" s="3" t="s">
        <v>571</v>
      </c>
    </row>
    <row r="61" customFormat="false" ht="172.5" hidden="false" customHeight="true" outlineLevel="0" collapsed="false">
      <c r="A61" s="3" t="s">
        <v>145</v>
      </c>
      <c r="B61" s="3" t="s">
        <v>563</v>
      </c>
      <c r="C61" s="3" t="s">
        <v>143</v>
      </c>
      <c r="D61" s="3" t="s">
        <v>24</v>
      </c>
      <c r="E61" s="3" t="s">
        <v>218</v>
      </c>
      <c r="F61" s="3" t="s">
        <v>572</v>
      </c>
      <c r="G61" s="3" t="s">
        <v>573</v>
      </c>
      <c r="H61" s="3" t="s">
        <v>574</v>
      </c>
      <c r="I61" s="3" t="s">
        <v>575</v>
      </c>
      <c r="J61" s="3" t="s">
        <v>576</v>
      </c>
      <c r="K61" s="3" t="s">
        <v>6</v>
      </c>
      <c r="L61" s="3" t="s">
        <v>577</v>
      </c>
      <c r="M61" s="3" t="s">
        <v>578</v>
      </c>
      <c r="N61" s="6" t="s">
        <v>226</v>
      </c>
      <c r="O61" s="3" t="s">
        <v>227</v>
      </c>
      <c r="P61" s="3" t="s">
        <v>570</v>
      </c>
      <c r="Q61" s="5" t="str">
        <f aca="false">HYPERLINK("Firmware_Change_Review.md#f-014a","Open F-014A")</f>
        <v>Open F-014A</v>
      </c>
      <c r="R61" s="3" t="s">
        <v>146</v>
      </c>
      <c r="S61" s="3" t="s">
        <v>579</v>
      </c>
    </row>
    <row r="62" customFormat="false" ht="135" hidden="false" customHeight="true" outlineLevel="0" collapsed="false">
      <c r="A62" s="3" t="s">
        <v>147</v>
      </c>
      <c r="B62" s="3" t="s">
        <v>563</v>
      </c>
      <c r="C62" s="3" t="s">
        <v>143</v>
      </c>
      <c r="D62" s="3" t="s">
        <v>24</v>
      </c>
      <c r="E62" s="3" t="s">
        <v>218</v>
      </c>
      <c r="F62" s="3" t="s">
        <v>580</v>
      </c>
      <c r="G62" s="3" t="s">
        <v>495</v>
      </c>
      <c r="H62" s="3" t="s">
        <v>581</v>
      </c>
      <c r="I62" s="3" t="s">
        <v>582</v>
      </c>
      <c r="J62" s="3" t="s">
        <v>583</v>
      </c>
      <c r="K62" s="3" t="s">
        <v>6</v>
      </c>
      <c r="L62" s="3" t="s">
        <v>584</v>
      </c>
      <c r="M62" s="3" t="s">
        <v>585</v>
      </c>
      <c r="N62" s="6" t="s">
        <v>226</v>
      </c>
      <c r="O62" s="3" t="s">
        <v>227</v>
      </c>
      <c r="P62" s="3" t="s">
        <v>570</v>
      </c>
      <c r="Q62" s="5" t="str">
        <f aca="false">HYPERLINK("Firmware_Change_Review.md#f-014b","Open F-014B")</f>
        <v>Open F-014B</v>
      </c>
      <c r="R62" s="3" t="s">
        <v>148</v>
      </c>
      <c r="S62" s="3" t="s">
        <v>579</v>
      </c>
    </row>
    <row r="63" customFormat="false" ht="397.5" hidden="false" customHeight="true" outlineLevel="0" collapsed="false">
      <c r="A63" s="3" t="s">
        <v>149</v>
      </c>
      <c r="B63" s="3" t="s">
        <v>563</v>
      </c>
      <c r="C63" s="3" t="s">
        <v>143</v>
      </c>
      <c r="D63" s="3" t="s">
        <v>24</v>
      </c>
      <c r="E63" s="3" t="s">
        <v>218</v>
      </c>
      <c r="F63" s="3" t="s">
        <v>586</v>
      </c>
      <c r="G63" s="3" t="s">
        <v>587</v>
      </c>
      <c r="H63" s="3" t="s">
        <v>588</v>
      </c>
      <c r="I63" s="3" t="s">
        <v>589</v>
      </c>
      <c r="J63" s="3" t="s">
        <v>590</v>
      </c>
      <c r="K63" s="3" t="s">
        <v>6</v>
      </c>
      <c r="L63" s="3" t="s">
        <v>591</v>
      </c>
      <c r="M63" s="3" t="s">
        <v>592</v>
      </c>
      <c r="N63" s="6" t="s">
        <v>226</v>
      </c>
      <c r="O63" s="3" t="s">
        <v>227</v>
      </c>
      <c r="P63" s="3" t="s">
        <v>570</v>
      </c>
      <c r="Q63" s="5" t="str">
        <f aca="false">HYPERLINK("Firmware_Change_Review.md#f-014c","Open F-014C")</f>
        <v>Open F-014C</v>
      </c>
      <c r="R63" s="3" t="s">
        <v>150</v>
      </c>
      <c r="S63" s="3" t="s">
        <v>579</v>
      </c>
    </row>
    <row r="64" customFormat="false" ht="160" hidden="false" customHeight="true" outlineLevel="0" collapsed="false">
      <c r="A64" s="3" t="s">
        <v>151</v>
      </c>
      <c r="B64" s="3" t="s">
        <v>593</v>
      </c>
      <c r="C64" s="3" t="s">
        <v>143</v>
      </c>
      <c r="D64" s="3" t="s">
        <v>27</v>
      </c>
      <c r="E64" s="3" t="s">
        <v>234</v>
      </c>
      <c r="F64" s="3" t="s">
        <v>594</v>
      </c>
      <c r="G64" s="3" t="s">
        <v>595</v>
      </c>
      <c r="H64" s="3" t="s">
        <v>595</v>
      </c>
      <c r="I64" s="3" t="s">
        <v>596</v>
      </c>
      <c r="J64" s="3" t="s">
        <v>597</v>
      </c>
      <c r="K64" s="3" t="s">
        <v>10</v>
      </c>
      <c r="L64" s="3" t="s">
        <v>598</v>
      </c>
      <c r="M64" s="3" t="s">
        <v>599</v>
      </c>
      <c r="N64" s="6" t="s">
        <v>226</v>
      </c>
      <c r="O64" s="3" t="s">
        <v>227</v>
      </c>
      <c r="P64" s="3" t="s">
        <v>600</v>
      </c>
      <c r="Q64" s="5" t="str">
        <f aca="false">HYPERLINK("Firmware_Change_Review.md#f-015","Open F-015")</f>
        <v>Open F-015</v>
      </c>
      <c r="R64" s="3" t="s">
        <v>152</v>
      </c>
      <c r="S64" s="3" t="s">
        <v>601</v>
      </c>
    </row>
    <row r="65" customFormat="false" ht="147.5" hidden="false" customHeight="true" outlineLevel="0" collapsed="false">
      <c r="A65" s="3" t="s">
        <v>153</v>
      </c>
      <c r="B65" s="3" t="s">
        <v>593</v>
      </c>
      <c r="C65" s="3" t="s">
        <v>143</v>
      </c>
      <c r="D65" s="3" t="s">
        <v>27</v>
      </c>
      <c r="E65" s="3" t="s">
        <v>218</v>
      </c>
      <c r="F65" s="3" t="s">
        <v>602</v>
      </c>
      <c r="G65" s="3" t="s">
        <v>573</v>
      </c>
      <c r="H65" s="3" t="s">
        <v>603</v>
      </c>
      <c r="I65" s="3" t="s">
        <v>575</v>
      </c>
      <c r="J65" s="3" t="s">
        <v>576</v>
      </c>
      <c r="K65" s="3" t="s">
        <v>6</v>
      </c>
      <c r="L65" s="3" t="s">
        <v>577</v>
      </c>
      <c r="M65" s="3" t="s">
        <v>578</v>
      </c>
      <c r="N65" s="6" t="s">
        <v>226</v>
      </c>
      <c r="O65" s="3" t="s">
        <v>227</v>
      </c>
      <c r="P65" s="3" t="s">
        <v>600</v>
      </c>
      <c r="Q65" s="5" t="str">
        <f aca="false">HYPERLINK("Firmware_Change_Review.md#f-015a","Open F-015A")</f>
        <v>Open F-015A</v>
      </c>
      <c r="R65" s="3" t="s">
        <v>146</v>
      </c>
      <c r="S65" s="3" t="s">
        <v>601</v>
      </c>
    </row>
    <row r="66" customFormat="false" ht="397.5" hidden="false" customHeight="true" outlineLevel="0" collapsed="false">
      <c r="A66" s="3" t="s">
        <v>154</v>
      </c>
      <c r="B66" s="3" t="s">
        <v>593</v>
      </c>
      <c r="C66" s="3" t="s">
        <v>143</v>
      </c>
      <c r="D66" s="3" t="s">
        <v>27</v>
      </c>
      <c r="E66" s="3" t="s">
        <v>218</v>
      </c>
      <c r="F66" s="3" t="s">
        <v>604</v>
      </c>
      <c r="G66" s="3" t="s">
        <v>587</v>
      </c>
      <c r="H66" s="3" t="s">
        <v>588</v>
      </c>
      <c r="I66" s="3" t="s">
        <v>605</v>
      </c>
      <c r="J66" s="3" t="s">
        <v>606</v>
      </c>
      <c r="K66" s="3" t="s">
        <v>6</v>
      </c>
      <c r="L66" s="3" t="s">
        <v>607</v>
      </c>
      <c r="M66" s="3" t="s">
        <v>608</v>
      </c>
      <c r="N66" s="6" t="s">
        <v>226</v>
      </c>
      <c r="O66" s="3" t="s">
        <v>227</v>
      </c>
      <c r="P66" s="3" t="s">
        <v>600</v>
      </c>
      <c r="Q66" s="5" t="str">
        <f aca="false">HYPERLINK("Firmware_Change_Review.md#f-015b","Open F-015B")</f>
        <v>Open F-015B</v>
      </c>
      <c r="R66" s="3" t="s">
        <v>155</v>
      </c>
      <c r="S66" s="3" t="s">
        <v>601</v>
      </c>
    </row>
    <row r="67" customFormat="false" ht="122.5" hidden="false" customHeight="true" outlineLevel="0" collapsed="false">
      <c r="A67" s="3" t="s">
        <v>156</v>
      </c>
      <c r="B67" s="3" t="s">
        <v>609</v>
      </c>
      <c r="C67" s="3" t="s">
        <v>157</v>
      </c>
      <c r="D67" s="3" t="s">
        <v>24</v>
      </c>
      <c r="E67" s="3" t="s">
        <v>265</v>
      </c>
      <c r="F67" s="3" t="s">
        <v>610</v>
      </c>
      <c r="G67" s="3" t="s">
        <v>611</v>
      </c>
      <c r="H67" s="3" t="s">
        <v>612</v>
      </c>
      <c r="I67" s="3" t="s">
        <v>613</v>
      </c>
      <c r="J67" s="3" t="s">
        <v>614</v>
      </c>
      <c r="K67" s="3" t="s">
        <v>6</v>
      </c>
      <c r="L67" s="3" t="s">
        <v>615</v>
      </c>
      <c r="M67" s="3" t="s">
        <v>616</v>
      </c>
      <c r="N67" s="6" t="s">
        <v>226</v>
      </c>
      <c r="O67" s="3" t="s">
        <v>227</v>
      </c>
      <c r="P67" s="3" t="s">
        <v>617</v>
      </c>
      <c r="Q67" s="5" t="str">
        <f aca="false">HYPERLINK("Firmware_Change_Review.md#f-016","Open F-016")</f>
        <v>Open F-016</v>
      </c>
      <c r="R67" s="3" t="s">
        <v>158</v>
      </c>
      <c r="S67" s="3" t="s">
        <v>618</v>
      </c>
    </row>
    <row r="68" customFormat="false" ht="172.5" hidden="false" customHeight="true" outlineLevel="0" collapsed="false">
      <c r="A68" s="3" t="s">
        <v>159</v>
      </c>
      <c r="B68" s="3" t="s">
        <v>619</v>
      </c>
      <c r="C68" s="3" t="s">
        <v>160</v>
      </c>
      <c r="D68" s="3" t="s">
        <v>24</v>
      </c>
      <c r="E68" s="3" t="s">
        <v>234</v>
      </c>
      <c r="F68" s="3" t="s">
        <v>620</v>
      </c>
      <c r="G68" s="3" t="s">
        <v>621</v>
      </c>
      <c r="H68" s="3" t="s">
        <v>622</v>
      </c>
      <c r="I68" s="3" t="s">
        <v>623</v>
      </c>
      <c r="J68" s="3" t="s">
        <v>624</v>
      </c>
      <c r="K68" s="3" t="s">
        <v>10</v>
      </c>
      <c r="L68" s="3" t="s">
        <v>625</v>
      </c>
      <c r="M68" s="3" t="s">
        <v>626</v>
      </c>
      <c r="N68" s="6" t="s">
        <v>226</v>
      </c>
      <c r="O68" s="3" t="s">
        <v>227</v>
      </c>
      <c r="P68" s="3" t="s">
        <v>627</v>
      </c>
      <c r="Q68" s="5" t="str">
        <f aca="false">HYPERLINK("Firmware_Change_Review.md#f-017","Open F-017")</f>
        <v>Open F-017</v>
      </c>
      <c r="R68" s="3" t="s">
        <v>161</v>
      </c>
      <c r="S68" s="3" t="s">
        <v>628</v>
      </c>
    </row>
    <row r="69" customFormat="false" ht="172.5" hidden="false" customHeight="true" outlineLevel="0" collapsed="false">
      <c r="A69" s="3" t="s">
        <v>162</v>
      </c>
      <c r="B69" s="3" t="s">
        <v>619</v>
      </c>
      <c r="C69" s="3" t="s">
        <v>160</v>
      </c>
      <c r="D69" s="3" t="s">
        <v>24</v>
      </c>
      <c r="E69" s="3" t="s">
        <v>234</v>
      </c>
      <c r="F69" s="3" t="s">
        <v>629</v>
      </c>
      <c r="G69" s="3" t="s">
        <v>630</v>
      </c>
      <c r="H69" s="3" t="s">
        <v>631</v>
      </c>
      <c r="I69" s="3" t="s">
        <v>632</v>
      </c>
      <c r="J69" s="3" t="s">
        <v>633</v>
      </c>
      <c r="K69" s="3" t="s">
        <v>10</v>
      </c>
      <c r="L69" s="3" t="s">
        <v>634</v>
      </c>
      <c r="M69" s="3" t="s">
        <v>635</v>
      </c>
      <c r="N69" s="6" t="s">
        <v>226</v>
      </c>
      <c r="O69" s="3" t="s">
        <v>227</v>
      </c>
      <c r="P69" s="3" t="s">
        <v>627</v>
      </c>
      <c r="Q69" s="5" t="str">
        <f aca="false">HYPERLINK("Firmware_Change_Review.md#f-017a","Open F-017A")</f>
        <v>Open F-017A</v>
      </c>
      <c r="R69" s="3" t="s">
        <v>163</v>
      </c>
      <c r="S69" s="3" t="s">
        <v>628</v>
      </c>
    </row>
    <row r="70" customFormat="false" ht="172.5" hidden="false" customHeight="true" outlineLevel="0" collapsed="false">
      <c r="A70" s="3" t="s">
        <v>164</v>
      </c>
      <c r="B70" s="3" t="s">
        <v>636</v>
      </c>
      <c r="C70" s="3" t="s">
        <v>160</v>
      </c>
      <c r="D70" s="3" t="s">
        <v>27</v>
      </c>
      <c r="E70" s="3" t="s">
        <v>234</v>
      </c>
      <c r="F70" s="3" t="s">
        <v>620</v>
      </c>
      <c r="G70" s="3" t="s">
        <v>621</v>
      </c>
      <c r="H70" s="3" t="s">
        <v>637</v>
      </c>
      <c r="I70" s="3" t="s">
        <v>623</v>
      </c>
      <c r="J70" s="3" t="s">
        <v>624</v>
      </c>
      <c r="K70" s="3" t="s">
        <v>10</v>
      </c>
      <c r="L70" s="3" t="s">
        <v>625</v>
      </c>
      <c r="M70" s="3" t="s">
        <v>638</v>
      </c>
      <c r="N70" s="6" t="s">
        <v>226</v>
      </c>
      <c r="O70" s="3" t="s">
        <v>227</v>
      </c>
      <c r="P70" s="3" t="s">
        <v>639</v>
      </c>
      <c r="Q70" s="5" t="str">
        <f aca="false">HYPERLINK("Firmware_Change_Review.md#f-018","Open F-018")</f>
        <v>Open F-018</v>
      </c>
      <c r="R70" s="3" t="s">
        <v>161</v>
      </c>
      <c r="S70" s="3" t="s">
        <v>640</v>
      </c>
    </row>
    <row r="71" customFormat="false" ht="172.5" hidden="false" customHeight="true" outlineLevel="0" collapsed="false">
      <c r="A71" s="3" t="s">
        <v>165</v>
      </c>
      <c r="B71" s="3" t="s">
        <v>636</v>
      </c>
      <c r="C71" s="3" t="s">
        <v>160</v>
      </c>
      <c r="D71" s="3" t="s">
        <v>27</v>
      </c>
      <c r="E71" s="3" t="s">
        <v>234</v>
      </c>
      <c r="F71" s="3" t="s">
        <v>629</v>
      </c>
      <c r="G71" s="3" t="s">
        <v>630</v>
      </c>
      <c r="H71" s="3" t="s">
        <v>641</v>
      </c>
      <c r="I71" s="3" t="s">
        <v>632</v>
      </c>
      <c r="J71" s="3" t="s">
        <v>633</v>
      </c>
      <c r="K71" s="3" t="s">
        <v>10</v>
      </c>
      <c r="L71" s="3" t="s">
        <v>634</v>
      </c>
      <c r="M71" s="3" t="s">
        <v>635</v>
      </c>
      <c r="N71" s="6" t="s">
        <v>226</v>
      </c>
      <c r="O71" s="3" t="s">
        <v>227</v>
      </c>
      <c r="P71" s="3" t="s">
        <v>639</v>
      </c>
      <c r="Q71" s="5" t="str">
        <f aca="false">HYPERLINK("Firmware_Change_Review.md#f-018a","Open F-018A")</f>
        <v>Open F-018A</v>
      </c>
      <c r="R71" s="3" t="s">
        <v>163</v>
      </c>
      <c r="S71" s="3" t="s">
        <v>640</v>
      </c>
    </row>
    <row r="72" customFormat="false" ht="97.5" hidden="false" customHeight="true" outlineLevel="0" collapsed="false">
      <c r="A72" s="3" t="s">
        <v>166</v>
      </c>
      <c r="B72" s="3" t="s">
        <v>642</v>
      </c>
      <c r="C72" s="3" t="s">
        <v>118</v>
      </c>
      <c r="D72" s="3" t="s">
        <v>24</v>
      </c>
      <c r="E72" s="3" t="s">
        <v>234</v>
      </c>
      <c r="F72" s="3" t="s">
        <v>643</v>
      </c>
      <c r="G72" s="3" t="s">
        <v>644</v>
      </c>
      <c r="H72" s="3" t="s">
        <v>645</v>
      </c>
      <c r="I72" s="3" t="s">
        <v>646</v>
      </c>
      <c r="J72" s="3" t="s">
        <v>647</v>
      </c>
      <c r="K72" s="3" t="s">
        <v>10</v>
      </c>
      <c r="L72" s="3" t="s">
        <v>648</v>
      </c>
      <c r="M72" s="3" t="s">
        <v>649</v>
      </c>
      <c r="N72" s="6" t="s">
        <v>226</v>
      </c>
      <c r="O72" s="3" t="s">
        <v>227</v>
      </c>
      <c r="P72" s="3" t="s">
        <v>650</v>
      </c>
      <c r="Q72" s="5" t="str">
        <f aca="false">HYPERLINK("Firmware_Change_Review.md#f-019","Open F-019")</f>
        <v>Open F-019</v>
      </c>
      <c r="R72" s="3" t="s">
        <v>167</v>
      </c>
      <c r="S72" s="3" t="s">
        <v>651</v>
      </c>
    </row>
    <row r="73" customFormat="false" ht="97.5" hidden="false" customHeight="true" outlineLevel="0" collapsed="false">
      <c r="A73" s="3" t="s">
        <v>168</v>
      </c>
      <c r="B73" s="3" t="s">
        <v>652</v>
      </c>
      <c r="C73" s="3" t="s">
        <v>118</v>
      </c>
      <c r="D73" s="3" t="s">
        <v>27</v>
      </c>
      <c r="E73" s="3" t="s">
        <v>234</v>
      </c>
      <c r="F73" s="3" t="s">
        <v>653</v>
      </c>
      <c r="G73" s="3" t="s">
        <v>654</v>
      </c>
      <c r="H73" s="3" t="s">
        <v>655</v>
      </c>
      <c r="I73" s="3" t="s">
        <v>656</v>
      </c>
      <c r="J73" s="3" t="s">
        <v>657</v>
      </c>
      <c r="K73" s="3" t="s">
        <v>10</v>
      </c>
      <c r="L73" s="3" t="s">
        <v>658</v>
      </c>
      <c r="M73" s="3" t="s">
        <v>659</v>
      </c>
      <c r="N73" s="6" t="s">
        <v>226</v>
      </c>
      <c r="O73" s="3" t="s">
        <v>227</v>
      </c>
      <c r="P73" s="3" t="s">
        <v>660</v>
      </c>
      <c r="Q73" s="5" t="str">
        <f aca="false">HYPERLINK("Firmware_Change_Review.md#f-020","Open F-020")</f>
        <v>Open F-020</v>
      </c>
      <c r="R73" s="3" t="s">
        <v>169</v>
      </c>
      <c r="S73" s="3" t="s">
        <v>661</v>
      </c>
    </row>
    <row r="74" customFormat="false" ht="409" hidden="false" customHeight="true" outlineLevel="0" collapsed="false">
      <c r="A74" s="3" t="s">
        <v>170</v>
      </c>
      <c r="B74" s="3" t="s">
        <v>652</v>
      </c>
      <c r="C74" s="3" t="s">
        <v>118</v>
      </c>
      <c r="D74" s="3" t="s">
        <v>27</v>
      </c>
      <c r="E74" s="3" t="s">
        <v>234</v>
      </c>
      <c r="F74" s="3" t="s">
        <v>662</v>
      </c>
      <c r="G74" s="3" t="s">
        <v>663</v>
      </c>
      <c r="H74" s="3" t="s">
        <v>664</v>
      </c>
      <c r="I74" s="3" t="s">
        <v>665</v>
      </c>
      <c r="J74" s="3" t="s">
        <v>666</v>
      </c>
      <c r="K74" s="3" t="s">
        <v>10</v>
      </c>
      <c r="L74" s="3" t="s">
        <v>667</v>
      </c>
      <c r="M74" s="3" t="s">
        <v>668</v>
      </c>
      <c r="N74" s="6" t="s">
        <v>226</v>
      </c>
      <c r="O74" s="3" t="s">
        <v>227</v>
      </c>
      <c r="P74" s="3" t="s">
        <v>660</v>
      </c>
      <c r="Q74" s="5" t="str">
        <f aca="false">HYPERLINK("Firmware_Change_Review.md#f-020a","Open F-020A")</f>
        <v>Open F-020A</v>
      </c>
      <c r="R74" s="3" t="s">
        <v>171</v>
      </c>
      <c r="S74" s="3" t="s">
        <v>661</v>
      </c>
    </row>
    <row r="75" customFormat="false" ht="122.5" hidden="false" customHeight="true" outlineLevel="0" collapsed="false">
      <c r="A75" s="3" t="s">
        <v>172</v>
      </c>
      <c r="B75" s="3" t="s">
        <v>669</v>
      </c>
      <c r="C75" s="3" t="s">
        <v>173</v>
      </c>
      <c r="D75" s="3" t="s">
        <v>27</v>
      </c>
      <c r="E75" s="3" t="s">
        <v>234</v>
      </c>
      <c r="F75" s="3" t="s">
        <v>670</v>
      </c>
      <c r="G75" s="3" t="s">
        <v>671</v>
      </c>
      <c r="H75" s="3" t="s">
        <v>672</v>
      </c>
      <c r="I75" s="3" t="s">
        <v>673</v>
      </c>
      <c r="J75" s="3" t="s">
        <v>674</v>
      </c>
      <c r="K75" s="3" t="s">
        <v>10</v>
      </c>
      <c r="L75" s="3" t="s">
        <v>675</v>
      </c>
      <c r="M75" s="3" t="s">
        <v>676</v>
      </c>
      <c r="N75" s="6" t="s">
        <v>226</v>
      </c>
      <c r="O75" s="3" t="s">
        <v>227</v>
      </c>
      <c r="P75" s="3" t="s">
        <v>677</v>
      </c>
      <c r="Q75" s="5" t="str">
        <f aca="false">HYPERLINK("Firmware_Change_Review.md#f-021","Open F-021")</f>
        <v>Open F-021</v>
      </c>
      <c r="R75" s="3" t="s">
        <v>174</v>
      </c>
      <c r="S75" s="3" t="s">
        <v>260</v>
      </c>
    </row>
    <row r="76" customFormat="false" ht="197.5" hidden="false" customHeight="true" outlineLevel="0" collapsed="false">
      <c r="A76" s="3" t="s">
        <v>175</v>
      </c>
      <c r="B76" s="3" t="s">
        <v>678</v>
      </c>
      <c r="C76" s="3" t="s">
        <v>176</v>
      </c>
      <c r="D76" s="3" t="s">
        <v>27</v>
      </c>
      <c r="E76" s="3" t="s">
        <v>234</v>
      </c>
      <c r="F76" s="3" t="s">
        <v>679</v>
      </c>
      <c r="G76" s="3" t="s">
        <v>680</v>
      </c>
      <c r="H76" s="3" t="s">
        <v>495</v>
      </c>
      <c r="I76" s="3" t="s">
        <v>681</v>
      </c>
      <c r="J76" s="3" t="s">
        <v>682</v>
      </c>
      <c r="K76" s="3" t="s">
        <v>10</v>
      </c>
      <c r="L76" s="3" t="s">
        <v>683</v>
      </c>
      <c r="M76" s="3" t="s">
        <v>684</v>
      </c>
      <c r="N76" s="6" t="s">
        <v>226</v>
      </c>
      <c r="O76" s="3" t="s">
        <v>227</v>
      </c>
      <c r="P76" s="3" t="s">
        <v>685</v>
      </c>
      <c r="Q76" s="5" t="str">
        <f aca="false">HYPERLINK("Firmware_Change_Review.md#f-022","Open F-022")</f>
        <v>Open F-022</v>
      </c>
      <c r="R76" s="3" t="s">
        <v>177</v>
      </c>
      <c r="S76" s="3" t="s">
        <v>260</v>
      </c>
    </row>
    <row r="77" customFormat="false" ht="260" hidden="false" customHeight="true" outlineLevel="0" collapsed="false">
      <c r="A77" s="3" t="s">
        <v>178</v>
      </c>
      <c r="B77" s="3" t="s">
        <v>678</v>
      </c>
      <c r="C77" s="3" t="s">
        <v>176</v>
      </c>
      <c r="D77" s="3" t="s">
        <v>27</v>
      </c>
      <c r="E77" s="3" t="s">
        <v>234</v>
      </c>
      <c r="F77" s="3" t="s">
        <v>686</v>
      </c>
      <c r="G77" s="3" t="s">
        <v>687</v>
      </c>
      <c r="H77" s="3" t="s">
        <v>688</v>
      </c>
      <c r="I77" s="3" t="s">
        <v>689</v>
      </c>
      <c r="J77" s="3" t="s">
        <v>690</v>
      </c>
      <c r="K77" s="3" t="s">
        <v>10</v>
      </c>
      <c r="L77" s="3" t="s">
        <v>691</v>
      </c>
      <c r="M77" s="3" t="s">
        <v>692</v>
      </c>
      <c r="N77" s="6" t="s">
        <v>226</v>
      </c>
      <c r="O77" s="3" t="s">
        <v>227</v>
      </c>
      <c r="P77" s="3" t="s">
        <v>685</v>
      </c>
      <c r="Q77" s="5" t="str">
        <f aca="false">HYPERLINK("Firmware_Change_Review.md#f-022a","Open F-022A")</f>
        <v>Open F-022A</v>
      </c>
      <c r="R77" s="3" t="s">
        <v>179</v>
      </c>
      <c r="S77" s="3" t="s">
        <v>260</v>
      </c>
    </row>
    <row r="78" customFormat="false" ht="335" hidden="false" customHeight="true" outlineLevel="0" collapsed="false">
      <c r="A78" s="3" t="s">
        <v>180</v>
      </c>
      <c r="B78" s="3" t="s">
        <v>693</v>
      </c>
      <c r="C78" s="3" t="s">
        <v>181</v>
      </c>
      <c r="D78" s="3" t="s">
        <v>24</v>
      </c>
      <c r="E78" s="3" t="s">
        <v>234</v>
      </c>
      <c r="F78" s="3" t="s">
        <v>694</v>
      </c>
      <c r="G78" s="3" t="s">
        <v>695</v>
      </c>
      <c r="H78" s="3" t="s">
        <v>696</v>
      </c>
      <c r="I78" s="3" t="s">
        <v>697</v>
      </c>
      <c r="J78" s="3" t="s">
        <v>698</v>
      </c>
      <c r="K78" s="3" t="s">
        <v>10</v>
      </c>
      <c r="L78" s="3" t="s">
        <v>699</v>
      </c>
      <c r="M78" s="3" t="s">
        <v>700</v>
      </c>
      <c r="N78" s="6" t="s">
        <v>226</v>
      </c>
      <c r="O78" s="3" t="s">
        <v>227</v>
      </c>
      <c r="P78" s="3" t="s">
        <v>701</v>
      </c>
      <c r="Q78" s="5" t="str">
        <f aca="false">HYPERLINK("Firmware_Change_Review.md#f-023","Open F-023")</f>
        <v>Open F-023</v>
      </c>
      <c r="R78" s="3" t="s">
        <v>182</v>
      </c>
      <c r="S78" s="3" t="s">
        <v>702</v>
      </c>
    </row>
    <row r="79" customFormat="false" ht="409" hidden="false" customHeight="true" outlineLevel="0" collapsed="false">
      <c r="A79" s="3" t="s">
        <v>183</v>
      </c>
      <c r="B79" s="3" t="s">
        <v>693</v>
      </c>
      <c r="C79" s="3" t="s">
        <v>181</v>
      </c>
      <c r="D79" s="3" t="s">
        <v>24</v>
      </c>
      <c r="E79" s="3" t="s">
        <v>234</v>
      </c>
      <c r="F79" s="3" t="s">
        <v>703</v>
      </c>
      <c r="G79" s="3" t="s">
        <v>704</v>
      </c>
      <c r="H79" s="3" t="s">
        <v>705</v>
      </c>
      <c r="I79" s="3" t="s">
        <v>706</v>
      </c>
      <c r="J79" s="3" t="s">
        <v>707</v>
      </c>
      <c r="K79" s="3" t="s">
        <v>10</v>
      </c>
      <c r="L79" s="3" t="s">
        <v>708</v>
      </c>
      <c r="M79" s="3" t="s">
        <v>709</v>
      </c>
      <c r="N79" s="6" t="s">
        <v>226</v>
      </c>
      <c r="O79" s="3" t="s">
        <v>227</v>
      </c>
      <c r="P79" s="3" t="s">
        <v>701</v>
      </c>
      <c r="Q79" s="5" t="str">
        <f aca="false">HYPERLINK("Firmware_Change_Review.md#f-023a","Open F-023A")</f>
        <v>Open F-023A</v>
      </c>
      <c r="R79" s="3" t="s">
        <v>184</v>
      </c>
      <c r="S79" s="3" t="s">
        <v>702</v>
      </c>
    </row>
    <row r="80" customFormat="false" ht="235" hidden="false" customHeight="true" outlineLevel="0" collapsed="false">
      <c r="A80" s="3" t="s">
        <v>185</v>
      </c>
      <c r="B80" s="3" t="s">
        <v>710</v>
      </c>
      <c r="C80" s="3" t="s">
        <v>74</v>
      </c>
      <c r="D80" s="3" t="s">
        <v>24</v>
      </c>
      <c r="E80" s="3" t="s">
        <v>234</v>
      </c>
      <c r="F80" s="3" t="s">
        <v>711</v>
      </c>
      <c r="G80" s="3" t="s">
        <v>712</v>
      </c>
      <c r="H80" s="3" t="s">
        <v>713</v>
      </c>
      <c r="I80" s="3" t="s">
        <v>714</v>
      </c>
      <c r="J80" s="3" t="s">
        <v>715</v>
      </c>
      <c r="K80" s="3" t="s">
        <v>10</v>
      </c>
      <c r="L80" s="3" t="s">
        <v>716</v>
      </c>
      <c r="M80" s="3" t="s">
        <v>717</v>
      </c>
      <c r="N80" s="6" t="s">
        <v>226</v>
      </c>
      <c r="O80" s="3" t="s">
        <v>227</v>
      </c>
      <c r="P80" s="3" t="s">
        <v>718</v>
      </c>
      <c r="Q80" s="5" t="str">
        <f aca="false">HYPERLINK("Firmware_Change_Review.md#f-024","Open F-024")</f>
        <v>Open F-024</v>
      </c>
      <c r="R80" s="3" t="s">
        <v>186</v>
      </c>
      <c r="S80" s="3" t="s">
        <v>260</v>
      </c>
    </row>
    <row r="81" customFormat="false" ht="110" hidden="false" customHeight="true" outlineLevel="0" collapsed="false">
      <c r="A81" s="3" t="s">
        <v>187</v>
      </c>
      <c r="B81" s="3" t="s">
        <v>719</v>
      </c>
      <c r="C81" s="3" t="s">
        <v>188</v>
      </c>
      <c r="D81" s="3" t="s">
        <v>27</v>
      </c>
      <c r="E81" s="3" t="s">
        <v>265</v>
      </c>
      <c r="F81" s="3" t="s">
        <v>720</v>
      </c>
      <c r="G81" s="3" t="s">
        <v>721</v>
      </c>
      <c r="H81" s="3" t="s">
        <v>722</v>
      </c>
      <c r="I81" s="3" t="s">
        <v>723</v>
      </c>
      <c r="J81" s="3" t="s">
        <v>724</v>
      </c>
      <c r="K81" s="3" t="s">
        <v>6</v>
      </c>
      <c r="L81" s="3" t="s">
        <v>725</v>
      </c>
      <c r="M81" s="3" t="s">
        <v>726</v>
      </c>
      <c r="N81" s="6" t="s">
        <v>226</v>
      </c>
      <c r="O81" s="3" t="s">
        <v>227</v>
      </c>
      <c r="P81" s="3" t="s">
        <v>727</v>
      </c>
      <c r="Q81" s="5" t="str">
        <f aca="false">HYPERLINK("Firmware_Change_Review.md#f-025","Open F-025")</f>
        <v>Open F-025</v>
      </c>
      <c r="R81" s="3" t="s">
        <v>189</v>
      </c>
      <c r="S81" s="3" t="s">
        <v>728</v>
      </c>
    </row>
    <row r="82" customFormat="false" ht="97.5" hidden="false" customHeight="true" outlineLevel="0" collapsed="false">
      <c r="A82" s="3" t="s">
        <v>190</v>
      </c>
      <c r="B82" s="3" t="s">
        <v>729</v>
      </c>
      <c r="C82" s="3" t="s">
        <v>191</v>
      </c>
      <c r="D82" s="3" t="s">
        <v>24</v>
      </c>
      <c r="E82" s="3" t="s">
        <v>265</v>
      </c>
      <c r="F82" s="3" t="s">
        <v>730</v>
      </c>
      <c r="G82" s="3" t="s">
        <v>495</v>
      </c>
      <c r="H82" s="3" t="s">
        <v>731</v>
      </c>
      <c r="I82" s="3" t="s">
        <v>732</v>
      </c>
      <c r="J82" s="3" t="s">
        <v>733</v>
      </c>
      <c r="K82" s="3" t="s">
        <v>6</v>
      </c>
      <c r="L82" s="3" t="s">
        <v>734</v>
      </c>
      <c r="M82" s="3" t="s">
        <v>735</v>
      </c>
      <c r="N82" s="6" t="s">
        <v>226</v>
      </c>
      <c r="O82" s="3" t="s">
        <v>227</v>
      </c>
      <c r="P82" s="3" t="s">
        <v>736</v>
      </c>
      <c r="Q82" s="5" t="str">
        <f aca="false">HYPERLINK("Firmware_Change_Review.md#f-026","Open F-026")</f>
        <v>Open F-026</v>
      </c>
      <c r="R82" s="3" t="s">
        <v>192</v>
      </c>
      <c r="S82" s="3" t="s">
        <v>737</v>
      </c>
    </row>
    <row r="83" customFormat="false" ht="409" hidden="false" customHeight="true" outlineLevel="0" collapsed="false">
      <c r="A83" s="3" t="s">
        <v>193</v>
      </c>
      <c r="B83" s="3" t="s">
        <v>729</v>
      </c>
      <c r="C83" s="3" t="s">
        <v>191</v>
      </c>
      <c r="D83" s="3" t="s">
        <v>24</v>
      </c>
      <c r="E83" s="3" t="s">
        <v>234</v>
      </c>
      <c r="F83" s="3" t="s">
        <v>738</v>
      </c>
      <c r="G83" s="3" t="s">
        <v>739</v>
      </c>
      <c r="H83" s="3" t="s">
        <v>740</v>
      </c>
      <c r="I83" s="3" t="s">
        <v>741</v>
      </c>
      <c r="J83" s="3" t="s">
        <v>742</v>
      </c>
      <c r="K83" s="3" t="s">
        <v>10</v>
      </c>
      <c r="L83" s="3" t="s">
        <v>743</v>
      </c>
      <c r="M83" s="3" t="s">
        <v>744</v>
      </c>
      <c r="N83" s="6" t="s">
        <v>226</v>
      </c>
      <c r="O83" s="3" t="s">
        <v>227</v>
      </c>
      <c r="P83" s="3" t="s">
        <v>736</v>
      </c>
      <c r="Q83" s="5" t="str">
        <f aca="false">HYPERLINK("Firmware_Change_Review.md#f-026a","Open F-026A")</f>
        <v>Open F-026A</v>
      </c>
      <c r="R83" s="3" t="s">
        <v>194</v>
      </c>
      <c r="S83" s="3" t="s">
        <v>737</v>
      </c>
    </row>
    <row r="84" customFormat="false" ht="97.5" hidden="false" customHeight="true" outlineLevel="0" collapsed="false">
      <c r="A84" s="3" t="s">
        <v>195</v>
      </c>
      <c r="B84" s="3" t="s">
        <v>710</v>
      </c>
      <c r="C84" s="3" t="s">
        <v>196</v>
      </c>
      <c r="D84" s="3" t="s">
        <v>24</v>
      </c>
      <c r="E84" s="3" t="s">
        <v>234</v>
      </c>
      <c r="F84" s="3" t="s">
        <v>745</v>
      </c>
      <c r="G84" s="3" t="s">
        <v>746</v>
      </c>
      <c r="H84" s="3" t="s">
        <v>747</v>
      </c>
      <c r="I84" s="3" t="s">
        <v>748</v>
      </c>
      <c r="J84" s="3" t="s">
        <v>749</v>
      </c>
      <c r="K84" s="3" t="s">
        <v>10</v>
      </c>
      <c r="L84" s="3" t="s">
        <v>750</v>
      </c>
      <c r="M84" s="3" t="s">
        <v>751</v>
      </c>
      <c r="N84" s="6" t="s">
        <v>226</v>
      </c>
      <c r="O84" s="3" t="s">
        <v>227</v>
      </c>
      <c r="P84" s="3" t="s">
        <v>752</v>
      </c>
      <c r="Q84" s="5" t="str">
        <f aca="false">HYPERLINK("Firmware_Change_Review.md#f-027","Open F-027")</f>
        <v>Open F-027</v>
      </c>
      <c r="R84" s="3" t="s">
        <v>197</v>
      </c>
      <c r="S84" s="3" t="s">
        <v>260</v>
      </c>
    </row>
    <row r="85" customFormat="false" ht="360" hidden="false" customHeight="true" outlineLevel="0" collapsed="false">
      <c r="A85" s="3" t="s">
        <v>198</v>
      </c>
      <c r="B85" s="3" t="s">
        <v>710</v>
      </c>
      <c r="C85" s="3" t="s">
        <v>196</v>
      </c>
      <c r="D85" s="3" t="s">
        <v>24</v>
      </c>
      <c r="E85" s="3" t="s">
        <v>234</v>
      </c>
      <c r="F85" s="3" t="s">
        <v>753</v>
      </c>
      <c r="G85" s="3" t="s">
        <v>754</v>
      </c>
      <c r="H85" s="3" t="s">
        <v>755</v>
      </c>
      <c r="I85" s="3" t="s">
        <v>756</v>
      </c>
      <c r="J85" s="3" t="s">
        <v>757</v>
      </c>
      <c r="K85" s="3" t="s">
        <v>10</v>
      </c>
      <c r="L85" s="3" t="s">
        <v>758</v>
      </c>
      <c r="M85" s="3" t="s">
        <v>759</v>
      </c>
      <c r="N85" s="6" t="s">
        <v>226</v>
      </c>
      <c r="O85" s="3" t="s">
        <v>227</v>
      </c>
      <c r="P85" s="3" t="s">
        <v>760</v>
      </c>
      <c r="Q85" s="5" t="str">
        <f aca="false">HYPERLINK("Firmware_Change_Review.md#f-028","Open F-028")</f>
        <v>Open F-028</v>
      </c>
      <c r="R85" s="3" t="s">
        <v>199</v>
      </c>
      <c r="S85" s="3" t="s">
        <v>260</v>
      </c>
    </row>
  </sheetData>
  <conditionalFormatting sqref="K8:K85">
    <cfRule type="containsText" priority="2" operator="containsText" aboveAverage="0" equalAverage="0" bottom="0" percent="0" rank="0" text="Documentation Only" dxfId="16">
      <formula>NOT(ISERROR(SEARCH("Documentation Only",K8)))</formula>
    </cfRule>
    <cfRule type="containsText" priority="3" operator="containsText" aboveAverage="0" equalAverage="0" bottom="0" percent="0" rank="0" text="Schema Update" dxfId="17">
      <formula>NOT(ISERROR(SEARCH("Schema Update",K8)))</formula>
    </cfRule>
    <cfRule type="containsText" priority="4" operator="containsText" aboveAverage="0" equalAverage="0" bottom="0" percent="0" rank="0" text="Firmware Change" dxfId="18">
      <formula>NOT(ISERROR(SEARCH("Firmware Change",K8)))</formula>
    </cfRule>
    <cfRule type="containsText" priority="5" operator="containsText" aboveAverage="0" equalAverage="0" bottom="0" percent="0" rank="0" text="Developer Clarification" dxfId="19">
      <formula>NOT(ISERROR(SEARCH("Developer Clarification",K8)))</formula>
    </cfRule>
    <cfRule type="containsText" priority="6" operator="containsText" aboveAverage="0" equalAverage="0" bottom="0" percent="0" rank="0" text="No Change Required" dxfId="20">
      <formula>NOT(ISERROR(SEARCH("No Change Required",K8)))</formula>
    </cfRule>
  </conditionalFormatting>
  <conditionalFormatting sqref="O8:O85">
    <cfRule type="containsText" priority="7" operator="containsText" aboveAverage="0" equalAverage="0" bottom="0" percent="0" rank="0" text="Resolved" dxfId="21">
      <formula>NOT(ISERROR(SEARCH("Resolved",O8)))</formula>
    </cfRule>
  </conditionalFormatting>
  <dataValidations count="2">
    <dataValidation allowBlank="false" errorStyle="stop" operator="between" showDropDown="false" showErrorMessage="false" showInputMessage="false" sqref="K8:K85" type="list">
      <formula1>"Documentation Only,Schema Update,Firmware Change,Developer Clarification,No Change Required"</formula1>
      <formula2>0</formula2>
    </dataValidation>
    <dataValidation allowBlank="false" errorStyle="stop" operator="between" showDropDown="false" showErrorMessage="false" showInputMessage="false" sqref="O8:O85" type="list">
      <formula1>"Open,In Review,Confirmed,Resolved"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25"/>
    <col collapsed="false" customWidth="true" hidden="false" outlineLevel="0" max="6" min="5" style="0" width="80"/>
    <col collapsed="false" customWidth="true" hidden="false" outlineLevel="0" max="7" min="7" style="0" width="30"/>
    <col collapsed="false" customWidth="true" hidden="false" outlineLevel="0" max="8" min="8" style="0" width="80"/>
    <col collapsed="false" customWidth="true" hidden="false" outlineLevel="0" max="9" min="9" style="0" width="72"/>
    <col collapsed="false" customWidth="true" hidden="false" outlineLevel="0" max="10" min="10" style="0" width="45"/>
  </cols>
  <sheetData>
    <row r="1" customFormat="false" ht="24" hidden="false" customHeight="true" outlineLevel="0" collapsed="false">
      <c r="A1" s="3"/>
      <c r="B1" s="3"/>
      <c r="C1" s="3"/>
      <c r="D1" s="3"/>
      <c r="E1" s="3"/>
      <c r="F1" s="3"/>
      <c r="G1" s="3"/>
      <c r="H1" s="3"/>
      <c r="I1" s="3"/>
      <c r="J1" s="3"/>
    </row>
    <row r="2" customFormat="false" ht="35" hidden="false" customHeight="true" outlineLevel="0" collapsed="false">
      <c r="A2" s="2" t="s">
        <v>761</v>
      </c>
      <c r="B2" s="3"/>
      <c r="C2" s="3"/>
      <c r="D2" s="3"/>
      <c r="E2" s="3"/>
      <c r="F2" s="3"/>
      <c r="G2" s="3"/>
      <c r="H2" s="3"/>
      <c r="I2" s="3"/>
      <c r="J2" s="3"/>
    </row>
    <row r="3" customFormat="false" ht="65" hidden="false" customHeight="true" outlineLevel="0" collapsed="false">
      <c r="A3" s="1" t="s">
        <v>762</v>
      </c>
      <c r="B3" s="3"/>
      <c r="C3" s="3"/>
      <c r="D3" s="3"/>
      <c r="E3" s="3"/>
      <c r="F3" s="3"/>
      <c r="G3" s="3"/>
      <c r="H3" s="3"/>
      <c r="I3" s="3"/>
      <c r="J3" s="3"/>
    </row>
    <row r="4" customFormat="false" ht="65" hidden="false" customHeight="true" outlineLevel="0" collapsed="false">
      <c r="A4" s="1" t="s">
        <v>763</v>
      </c>
      <c r="B4" s="3"/>
      <c r="C4" s="3"/>
      <c r="D4" s="3"/>
      <c r="E4" s="3"/>
      <c r="F4" s="3"/>
      <c r="G4" s="3"/>
      <c r="H4" s="3"/>
      <c r="I4" s="3"/>
      <c r="J4" s="3"/>
    </row>
    <row r="5" customFormat="false" ht="24" hidden="false" customHeight="true" outlineLevel="0" collapsed="false">
      <c r="A5" s="3"/>
      <c r="B5" s="3"/>
      <c r="C5" s="3"/>
      <c r="D5" s="3"/>
      <c r="E5" s="3"/>
      <c r="F5" s="3"/>
      <c r="G5" s="3"/>
      <c r="H5" s="3"/>
      <c r="I5" s="3"/>
      <c r="J5" s="3"/>
    </row>
    <row r="6" customFormat="false" ht="32" hidden="false" customHeight="true" outlineLevel="0" collapsed="false">
      <c r="A6" s="4" t="s">
        <v>764</v>
      </c>
      <c r="B6" s="4" t="s">
        <v>16</v>
      </c>
      <c r="C6" s="4" t="s">
        <v>765</v>
      </c>
      <c r="D6" s="4" t="s">
        <v>766</v>
      </c>
      <c r="E6" s="4" t="s">
        <v>767</v>
      </c>
      <c r="F6" s="4" t="s">
        <v>768</v>
      </c>
      <c r="G6" s="4" t="s">
        <v>769</v>
      </c>
      <c r="H6" s="4" t="s">
        <v>770</v>
      </c>
      <c r="I6" s="4" t="s">
        <v>771</v>
      </c>
      <c r="J6" s="4" t="s">
        <v>772</v>
      </c>
    </row>
    <row r="7" customFormat="false" ht="90" hidden="false" customHeight="true" outlineLevel="0" collapsed="false">
      <c r="A7" s="3" t="n">
        <v>1</v>
      </c>
      <c r="B7" s="3" t="s">
        <v>24</v>
      </c>
      <c r="C7" s="3" t="s">
        <v>23</v>
      </c>
      <c r="D7" s="3" t="s">
        <v>773</v>
      </c>
      <c r="E7" s="3" t="s">
        <v>774</v>
      </c>
      <c r="F7" s="3" t="s">
        <v>775</v>
      </c>
      <c r="G7" s="3" t="s">
        <v>776</v>
      </c>
      <c r="H7" s="3" t="s">
        <v>777</v>
      </c>
      <c r="I7" s="3" t="s">
        <v>778</v>
      </c>
      <c r="J7" s="3"/>
    </row>
    <row r="8" customFormat="false" ht="90" hidden="false" customHeight="true" outlineLevel="0" collapsed="false">
      <c r="A8" s="3" t="n">
        <v>2</v>
      </c>
      <c r="B8" s="3" t="s">
        <v>27</v>
      </c>
      <c r="C8" s="3" t="s">
        <v>23</v>
      </c>
      <c r="D8" s="3" t="s">
        <v>773</v>
      </c>
      <c r="E8" s="3" t="s">
        <v>774</v>
      </c>
      <c r="F8" s="3" t="s">
        <v>775</v>
      </c>
      <c r="G8" s="3" t="s">
        <v>776</v>
      </c>
      <c r="H8" s="3" t="s">
        <v>777</v>
      </c>
      <c r="I8" s="3" t="s">
        <v>778</v>
      </c>
      <c r="J8" s="3"/>
    </row>
    <row r="9" customFormat="false" ht="90" hidden="false" customHeight="true" outlineLevel="0" collapsed="false">
      <c r="A9" s="3" t="n">
        <v>3</v>
      </c>
      <c r="B9" s="3" t="s">
        <v>24</v>
      </c>
      <c r="C9" s="3" t="s">
        <v>29</v>
      </c>
      <c r="D9" s="3" t="s">
        <v>773</v>
      </c>
      <c r="E9" s="3" t="s">
        <v>779</v>
      </c>
      <c r="F9" s="3" t="s">
        <v>780</v>
      </c>
      <c r="G9" s="3" t="s">
        <v>781</v>
      </c>
      <c r="H9" s="3" t="s">
        <v>782</v>
      </c>
      <c r="I9" s="3" t="s">
        <v>783</v>
      </c>
      <c r="J9" s="3"/>
    </row>
    <row r="10" customFormat="false" ht="90" hidden="false" customHeight="true" outlineLevel="0" collapsed="false">
      <c r="A10" s="3" t="n">
        <v>4</v>
      </c>
      <c r="B10" s="3" t="s">
        <v>33</v>
      </c>
      <c r="C10" s="3" t="s">
        <v>32</v>
      </c>
      <c r="D10" s="3" t="s">
        <v>773</v>
      </c>
      <c r="E10" s="3" t="s">
        <v>779</v>
      </c>
      <c r="F10" s="3" t="s">
        <v>780</v>
      </c>
      <c r="G10" s="3" t="s">
        <v>781</v>
      </c>
      <c r="H10" s="3" t="s">
        <v>782</v>
      </c>
      <c r="I10" s="3" t="s">
        <v>783</v>
      </c>
      <c r="J10" s="3"/>
    </row>
    <row r="11" customFormat="false" ht="90" hidden="false" customHeight="true" outlineLevel="0" collapsed="false">
      <c r="A11" s="3" t="n">
        <v>5</v>
      </c>
      <c r="B11" s="3" t="s">
        <v>27</v>
      </c>
      <c r="C11" s="3" t="s">
        <v>32</v>
      </c>
      <c r="D11" s="3" t="s">
        <v>773</v>
      </c>
      <c r="E11" s="3" t="s">
        <v>779</v>
      </c>
      <c r="F11" s="3" t="s">
        <v>780</v>
      </c>
      <c r="G11" s="3" t="s">
        <v>781</v>
      </c>
      <c r="H11" s="3" t="s">
        <v>782</v>
      </c>
      <c r="I11" s="3" t="s">
        <v>783</v>
      </c>
      <c r="J11" s="3"/>
    </row>
    <row r="12" customFormat="false" ht="90" hidden="false" customHeight="true" outlineLevel="0" collapsed="false">
      <c r="A12" s="3" t="n">
        <v>6</v>
      </c>
      <c r="B12" s="3" t="s">
        <v>24</v>
      </c>
      <c r="C12" s="3" t="s">
        <v>36</v>
      </c>
      <c r="D12" s="3" t="s">
        <v>773</v>
      </c>
      <c r="E12" s="3" t="s">
        <v>774</v>
      </c>
      <c r="F12" s="3" t="s">
        <v>775</v>
      </c>
      <c r="G12" s="3" t="s">
        <v>776</v>
      </c>
      <c r="H12" s="3" t="s">
        <v>777</v>
      </c>
      <c r="I12" s="3"/>
      <c r="J12" s="3"/>
    </row>
    <row r="13" customFormat="false" ht="90" hidden="false" customHeight="true" outlineLevel="0" collapsed="false">
      <c r="A13" s="3" t="n">
        <v>7</v>
      </c>
      <c r="B13" s="3" t="s">
        <v>27</v>
      </c>
      <c r="C13" s="3" t="s">
        <v>36</v>
      </c>
      <c r="D13" s="3" t="s">
        <v>773</v>
      </c>
      <c r="E13" s="3" t="s">
        <v>774</v>
      </c>
      <c r="F13" s="3" t="s">
        <v>775</v>
      </c>
      <c r="G13" s="3" t="s">
        <v>776</v>
      </c>
      <c r="H13" s="3" t="s">
        <v>777</v>
      </c>
      <c r="I13" s="3"/>
      <c r="J13" s="3"/>
    </row>
    <row r="14" customFormat="false" ht="90" hidden="false" customHeight="true" outlineLevel="0" collapsed="false">
      <c r="A14" s="3" t="n">
        <v>8</v>
      </c>
      <c r="B14" s="3" t="s">
        <v>24</v>
      </c>
      <c r="C14" s="3" t="s">
        <v>40</v>
      </c>
      <c r="D14" s="3" t="s">
        <v>773</v>
      </c>
      <c r="E14" s="3" t="s">
        <v>779</v>
      </c>
      <c r="F14" s="3" t="s">
        <v>775</v>
      </c>
      <c r="G14" s="3" t="s">
        <v>781</v>
      </c>
      <c r="H14" s="3" t="s">
        <v>784</v>
      </c>
      <c r="I14" s="3" t="s">
        <v>785</v>
      </c>
      <c r="J14" s="3"/>
    </row>
    <row r="15" customFormat="false" ht="90" hidden="false" customHeight="true" outlineLevel="0" collapsed="false">
      <c r="A15" s="3" t="n">
        <v>9</v>
      </c>
      <c r="B15" s="3" t="s">
        <v>27</v>
      </c>
      <c r="C15" s="3" t="s">
        <v>40</v>
      </c>
      <c r="D15" s="3" t="s">
        <v>773</v>
      </c>
      <c r="E15" s="3" t="s">
        <v>779</v>
      </c>
      <c r="F15" s="3" t="s">
        <v>775</v>
      </c>
      <c r="G15" s="3" t="s">
        <v>781</v>
      </c>
      <c r="H15" s="3" t="s">
        <v>784</v>
      </c>
      <c r="I15" s="3" t="s">
        <v>785</v>
      </c>
      <c r="J15" s="3"/>
    </row>
    <row r="16" customFormat="false" ht="90" hidden="false" customHeight="true" outlineLevel="0" collapsed="false">
      <c r="A16" s="3" t="n">
        <v>10</v>
      </c>
      <c r="B16" s="3" t="s">
        <v>24</v>
      </c>
      <c r="C16" s="3" t="s">
        <v>44</v>
      </c>
      <c r="D16" s="3" t="s">
        <v>773</v>
      </c>
      <c r="E16" s="3" t="s">
        <v>779</v>
      </c>
      <c r="F16" s="3" t="s">
        <v>786</v>
      </c>
      <c r="G16" s="3" t="s">
        <v>787</v>
      </c>
      <c r="H16" s="3" t="s">
        <v>788</v>
      </c>
      <c r="I16" s="3"/>
      <c r="J16" s="3"/>
    </row>
    <row r="17" customFormat="false" ht="90" hidden="false" customHeight="true" outlineLevel="0" collapsed="false">
      <c r="A17" s="3" t="n">
        <v>11</v>
      </c>
      <c r="B17" s="3" t="s">
        <v>24</v>
      </c>
      <c r="C17" s="3" t="s">
        <v>47</v>
      </c>
      <c r="D17" s="3" t="s">
        <v>773</v>
      </c>
      <c r="E17" s="3" t="s">
        <v>789</v>
      </c>
      <c r="F17" s="3" t="s">
        <v>786</v>
      </c>
      <c r="G17" s="3" t="s">
        <v>790</v>
      </c>
      <c r="H17" s="3" t="s">
        <v>791</v>
      </c>
      <c r="I17" s="3" t="s">
        <v>792</v>
      </c>
      <c r="J17" s="3"/>
    </row>
    <row r="18" customFormat="false" ht="90" hidden="false" customHeight="true" outlineLevel="0" collapsed="false">
      <c r="A18" s="3" t="n">
        <v>12</v>
      </c>
      <c r="B18" s="3" t="s">
        <v>24</v>
      </c>
      <c r="C18" s="3" t="s">
        <v>50</v>
      </c>
      <c r="D18" s="3" t="s">
        <v>773</v>
      </c>
      <c r="E18" s="3" t="s">
        <v>793</v>
      </c>
      <c r="F18" s="3" t="s">
        <v>786</v>
      </c>
      <c r="G18" s="3" t="s">
        <v>790</v>
      </c>
      <c r="H18" s="3" t="s">
        <v>791</v>
      </c>
      <c r="I18" s="3" t="s">
        <v>792</v>
      </c>
      <c r="J18" s="3"/>
    </row>
    <row r="19" customFormat="false" ht="90" hidden="false" customHeight="true" outlineLevel="0" collapsed="false">
      <c r="A19" s="3" t="n">
        <v>13</v>
      </c>
      <c r="B19" s="3" t="s">
        <v>24</v>
      </c>
      <c r="C19" s="3" t="s">
        <v>52</v>
      </c>
      <c r="D19" s="3" t="s">
        <v>773</v>
      </c>
      <c r="E19" s="3" t="s">
        <v>793</v>
      </c>
      <c r="F19" s="3" t="s">
        <v>786</v>
      </c>
      <c r="G19" s="3" t="s">
        <v>790</v>
      </c>
      <c r="H19" s="3" t="s">
        <v>791</v>
      </c>
      <c r="I19" s="3" t="s">
        <v>792</v>
      </c>
      <c r="J19" s="3"/>
    </row>
    <row r="20" customFormat="false" ht="90" hidden="false" customHeight="true" outlineLevel="0" collapsed="false">
      <c r="A20" s="3" t="n">
        <v>14</v>
      </c>
      <c r="B20" s="3" t="s">
        <v>33</v>
      </c>
      <c r="C20" s="3" t="s">
        <v>54</v>
      </c>
      <c r="D20" s="3" t="s">
        <v>773</v>
      </c>
      <c r="E20" s="3" t="s">
        <v>793</v>
      </c>
      <c r="F20" s="3" t="s">
        <v>786</v>
      </c>
      <c r="G20" s="3" t="s">
        <v>790</v>
      </c>
      <c r="H20" s="3" t="s">
        <v>791</v>
      </c>
      <c r="I20" s="3" t="s">
        <v>792</v>
      </c>
      <c r="J20" s="3"/>
    </row>
    <row r="21" customFormat="false" ht="90" hidden="false" customHeight="true" outlineLevel="0" collapsed="false">
      <c r="A21" s="3" t="n">
        <v>15</v>
      </c>
      <c r="B21" s="3" t="s">
        <v>24</v>
      </c>
      <c r="C21" s="3" t="s">
        <v>54</v>
      </c>
      <c r="D21" s="3" t="s">
        <v>773</v>
      </c>
      <c r="E21" s="3" t="s">
        <v>793</v>
      </c>
      <c r="F21" s="3" t="s">
        <v>786</v>
      </c>
      <c r="G21" s="3" t="s">
        <v>790</v>
      </c>
      <c r="H21" s="3" t="s">
        <v>791</v>
      </c>
      <c r="I21" s="3" t="s">
        <v>792</v>
      </c>
      <c r="J21" s="3"/>
    </row>
    <row r="22" customFormat="false" ht="90" hidden="false" customHeight="true" outlineLevel="0" collapsed="false">
      <c r="A22" s="3" t="n">
        <v>16</v>
      </c>
      <c r="B22" s="3" t="s">
        <v>33</v>
      </c>
      <c r="C22" s="3" t="s">
        <v>57</v>
      </c>
      <c r="D22" s="3" t="s">
        <v>773</v>
      </c>
      <c r="E22" s="3" t="s">
        <v>793</v>
      </c>
      <c r="F22" s="3" t="s">
        <v>786</v>
      </c>
      <c r="G22" s="3" t="s">
        <v>790</v>
      </c>
      <c r="H22" s="3" t="s">
        <v>791</v>
      </c>
      <c r="I22" s="3" t="s">
        <v>792</v>
      </c>
      <c r="J22" s="3"/>
    </row>
    <row r="23" customFormat="false" ht="90" hidden="false" customHeight="true" outlineLevel="0" collapsed="false">
      <c r="A23" s="3" t="n">
        <v>17</v>
      </c>
      <c r="B23" s="3" t="s">
        <v>24</v>
      </c>
      <c r="C23" s="3" t="s">
        <v>57</v>
      </c>
      <c r="D23" s="3" t="s">
        <v>773</v>
      </c>
      <c r="E23" s="3" t="s">
        <v>793</v>
      </c>
      <c r="F23" s="3" t="s">
        <v>786</v>
      </c>
      <c r="G23" s="3" t="s">
        <v>790</v>
      </c>
      <c r="H23" s="3" t="s">
        <v>791</v>
      </c>
      <c r="I23" s="3" t="s">
        <v>792</v>
      </c>
      <c r="J23" s="3"/>
    </row>
    <row r="24" customFormat="false" ht="90" hidden="false" customHeight="true" outlineLevel="0" collapsed="false">
      <c r="A24" s="3" t="n">
        <v>18</v>
      </c>
      <c r="B24" s="3" t="s">
        <v>24</v>
      </c>
      <c r="C24" s="3" t="s">
        <v>60</v>
      </c>
      <c r="D24" s="3" t="s">
        <v>773</v>
      </c>
      <c r="E24" s="3" t="s">
        <v>774</v>
      </c>
      <c r="F24" s="3" t="s">
        <v>794</v>
      </c>
      <c r="G24" s="3" t="s">
        <v>776</v>
      </c>
      <c r="H24" s="3" t="s">
        <v>777</v>
      </c>
      <c r="I24" s="3"/>
      <c r="J24" s="3"/>
    </row>
    <row r="25" customFormat="false" ht="90" hidden="false" customHeight="true" outlineLevel="0" collapsed="false">
      <c r="A25" s="3" t="n">
        <v>19</v>
      </c>
      <c r="B25" s="3" t="s">
        <v>27</v>
      </c>
      <c r="C25" s="3" t="s">
        <v>63</v>
      </c>
      <c r="D25" s="3" t="s">
        <v>773</v>
      </c>
      <c r="E25" s="3" t="s">
        <v>793</v>
      </c>
      <c r="F25" s="3" t="s">
        <v>786</v>
      </c>
      <c r="G25" s="3" t="s">
        <v>790</v>
      </c>
      <c r="H25" s="3" t="s">
        <v>795</v>
      </c>
      <c r="I25" s="3"/>
      <c r="J25" s="3"/>
    </row>
    <row r="26" customFormat="false" ht="90" hidden="false" customHeight="true" outlineLevel="0" collapsed="false">
      <c r="A26" s="3" t="n">
        <v>20</v>
      </c>
      <c r="B26" s="3" t="s">
        <v>24</v>
      </c>
      <c r="C26" s="3" t="s">
        <v>66</v>
      </c>
      <c r="D26" s="3" t="s">
        <v>773</v>
      </c>
      <c r="E26" s="3" t="s">
        <v>774</v>
      </c>
      <c r="F26" s="3" t="s">
        <v>775</v>
      </c>
      <c r="G26" s="3" t="s">
        <v>776</v>
      </c>
      <c r="H26" s="3" t="s">
        <v>777</v>
      </c>
      <c r="I26" s="3"/>
      <c r="J26" s="3"/>
    </row>
    <row r="27" customFormat="false" ht="90" hidden="false" customHeight="true" outlineLevel="0" collapsed="false">
      <c r="A27" s="3" t="n">
        <v>21</v>
      </c>
      <c r="B27" s="3" t="s">
        <v>27</v>
      </c>
      <c r="C27" s="3" t="s">
        <v>66</v>
      </c>
      <c r="D27" s="3" t="s">
        <v>773</v>
      </c>
      <c r="E27" s="3" t="s">
        <v>774</v>
      </c>
      <c r="F27" s="3" t="s">
        <v>775</v>
      </c>
      <c r="G27" s="3" t="s">
        <v>776</v>
      </c>
      <c r="H27" s="3" t="s">
        <v>777</v>
      </c>
      <c r="I27" s="3"/>
      <c r="J27" s="3"/>
    </row>
    <row r="28" customFormat="false" ht="90" hidden="false" customHeight="true" outlineLevel="0" collapsed="false">
      <c r="A28" s="3" t="n">
        <v>22</v>
      </c>
      <c r="B28" s="3" t="s">
        <v>24</v>
      </c>
      <c r="C28" s="3" t="s">
        <v>69</v>
      </c>
      <c r="D28" s="3" t="s">
        <v>773</v>
      </c>
      <c r="E28" s="3" t="s">
        <v>796</v>
      </c>
      <c r="F28" s="3" t="s">
        <v>797</v>
      </c>
      <c r="G28" s="3" t="s">
        <v>798</v>
      </c>
      <c r="H28" s="3" t="s">
        <v>799</v>
      </c>
      <c r="I28" s="3" t="s">
        <v>800</v>
      </c>
      <c r="J28" s="3"/>
    </row>
    <row r="29" customFormat="false" ht="90" hidden="false" customHeight="true" outlineLevel="0" collapsed="false">
      <c r="A29" s="3" t="n">
        <v>23</v>
      </c>
      <c r="B29" s="3" t="s">
        <v>24</v>
      </c>
      <c r="C29" s="3" t="s">
        <v>72</v>
      </c>
      <c r="D29" s="3" t="s">
        <v>773</v>
      </c>
      <c r="E29" s="3" t="s">
        <v>774</v>
      </c>
      <c r="F29" s="3" t="s">
        <v>801</v>
      </c>
      <c r="G29" s="3" t="s">
        <v>798</v>
      </c>
      <c r="H29" s="3" t="s">
        <v>802</v>
      </c>
      <c r="I29" s="3" t="s">
        <v>803</v>
      </c>
      <c r="J29" s="3"/>
    </row>
    <row r="30" customFormat="false" ht="90" hidden="false" customHeight="true" outlineLevel="0" collapsed="false">
      <c r="A30" s="3" t="n">
        <v>24</v>
      </c>
      <c r="B30" s="3" t="s">
        <v>27</v>
      </c>
      <c r="C30" s="3" t="s">
        <v>74</v>
      </c>
      <c r="D30" s="3" t="s">
        <v>773</v>
      </c>
      <c r="E30" s="3" t="s">
        <v>804</v>
      </c>
      <c r="F30" s="3" t="s">
        <v>805</v>
      </c>
      <c r="G30" s="3" t="s">
        <v>806</v>
      </c>
      <c r="H30" s="3" t="s">
        <v>807</v>
      </c>
      <c r="I30" s="3" t="s">
        <v>808</v>
      </c>
      <c r="J30" s="3"/>
    </row>
    <row r="31" customFormat="false" ht="90" hidden="false" customHeight="true" outlineLevel="0" collapsed="false">
      <c r="A31" s="3" t="n">
        <v>25</v>
      </c>
      <c r="B31" s="3" t="s">
        <v>24</v>
      </c>
      <c r="C31" s="3" t="s">
        <v>77</v>
      </c>
      <c r="D31" s="3" t="s">
        <v>773</v>
      </c>
      <c r="E31" s="3" t="s">
        <v>774</v>
      </c>
      <c r="F31" s="3" t="s">
        <v>809</v>
      </c>
      <c r="G31" s="3" t="s">
        <v>810</v>
      </c>
      <c r="H31" s="3" t="s">
        <v>811</v>
      </c>
      <c r="I31" s="3"/>
      <c r="J31" s="3"/>
    </row>
    <row r="32" customFormat="false" ht="90" hidden="false" customHeight="true" outlineLevel="0" collapsed="false">
      <c r="A32" s="3" t="n">
        <v>26</v>
      </c>
      <c r="B32" s="3" t="s">
        <v>27</v>
      </c>
      <c r="C32" s="3" t="s">
        <v>77</v>
      </c>
      <c r="D32" s="3" t="s">
        <v>773</v>
      </c>
      <c r="E32" s="3" t="s">
        <v>774</v>
      </c>
      <c r="F32" s="3" t="s">
        <v>809</v>
      </c>
      <c r="G32" s="3" t="s">
        <v>810</v>
      </c>
      <c r="H32" s="3" t="s">
        <v>811</v>
      </c>
      <c r="I32" s="3"/>
      <c r="J32" s="3"/>
    </row>
    <row r="33" customFormat="false" ht="90" hidden="false" customHeight="true" outlineLevel="0" collapsed="false">
      <c r="A33" s="3" t="n">
        <v>27</v>
      </c>
      <c r="B33" s="3" t="s">
        <v>27</v>
      </c>
      <c r="C33" s="3" t="s">
        <v>81</v>
      </c>
      <c r="D33" s="3" t="s">
        <v>773</v>
      </c>
      <c r="E33" s="3" t="s">
        <v>812</v>
      </c>
      <c r="F33" s="3" t="s">
        <v>794</v>
      </c>
      <c r="G33" s="3" t="s">
        <v>776</v>
      </c>
      <c r="H33" s="3" t="s">
        <v>777</v>
      </c>
      <c r="I33" s="3"/>
      <c r="J33" s="3"/>
    </row>
    <row r="34" customFormat="false" ht="90" hidden="false" customHeight="true" outlineLevel="0" collapsed="false">
      <c r="A34" s="3" t="n">
        <v>28</v>
      </c>
      <c r="B34" s="3" t="s">
        <v>24</v>
      </c>
      <c r="C34" s="3" t="s">
        <v>83</v>
      </c>
      <c r="D34" s="3" t="s">
        <v>773</v>
      </c>
      <c r="E34" s="3" t="s">
        <v>774</v>
      </c>
      <c r="F34" s="3" t="s">
        <v>794</v>
      </c>
      <c r="G34" s="3" t="s">
        <v>776</v>
      </c>
      <c r="H34" s="3" t="s">
        <v>777</v>
      </c>
      <c r="I34" s="3"/>
      <c r="J34" s="3"/>
    </row>
    <row r="35" customFormat="false" ht="90" hidden="false" customHeight="true" outlineLevel="0" collapsed="false">
      <c r="A35" s="3" t="n">
        <v>29</v>
      </c>
      <c r="B35" s="3" t="s">
        <v>33</v>
      </c>
      <c r="C35" s="3" t="s">
        <v>85</v>
      </c>
      <c r="D35" s="3" t="s">
        <v>813</v>
      </c>
      <c r="E35" s="3" t="s">
        <v>814</v>
      </c>
      <c r="F35" s="3" t="s">
        <v>815</v>
      </c>
      <c r="G35" s="3" t="s">
        <v>806</v>
      </c>
      <c r="H35" s="3" t="s">
        <v>816</v>
      </c>
      <c r="I35" s="3" t="s">
        <v>817</v>
      </c>
      <c r="J35" s="3"/>
    </row>
    <row r="36" customFormat="false" ht="90" hidden="false" customHeight="true" outlineLevel="0" collapsed="false">
      <c r="A36" s="3" t="n">
        <v>30</v>
      </c>
      <c r="B36" s="3" t="s">
        <v>24</v>
      </c>
      <c r="C36" s="3" t="s">
        <v>85</v>
      </c>
      <c r="D36" s="3" t="s">
        <v>813</v>
      </c>
      <c r="E36" s="3" t="s">
        <v>814</v>
      </c>
      <c r="F36" s="3" t="s">
        <v>818</v>
      </c>
      <c r="G36" s="3" t="s">
        <v>806</v>
      </c>
      <c r="H36" s="3" t="s">
        <v>819</v>
      </c>
      <c r="I36" s="3" t="s">
        <v>820</v>
      </c>
      <c r="J36" s="3"/>
    </row>
    <row r="37" customFormat="false" ht="90" hidden="false" customHeight="true" outlineLevel="0" collapsed="false">
      <c r="A37" s="3" t="n">
        <v>31</v>
      </c>
      <c r="B37" s="3" t="s">
        <v>24</v>
      </c>
      <c r="C37" s="3" t="s">
        <v>90</v>
      </c>
      <c r="D37" s="3" t="s">
        <v>813</v>
      </c>
      <c r="E37" s="3" t="s">
        <v>814</v>
      </c>
      <c r="F37" s="3" t="s">
        <v>821</v>
      </c>
      <c r="G37" s="3" t="s">
        <v>776</v>
      </c>
      <c r="H37" s="3" t="s">
        <v>822</v>
      </c>
      <c r="I37" s="3"/>
      <c r="J37" s="3"/>
    </row>
    <row r="38" customFormat="false" ht="90" hidden="false" customHeight="true" outlineLevel="0" collapsed="false">
      <c r="A38" s="3" t="n">
        <v>32</v>
      </c>
      <c r="B38" s="3" t="s">
        <v>27</v>
      </c>
      <c r="C38" s="3" t="s">
        <v>90</v>
      </c>
      <c r="D38" s="3" t="s">
        <v>813</v>
      </c>
      <c r="E38" s="3" t="s">
        <v>814</v>
      </c>
      <c r="F38" s="3" t="s">
        <v>823</v>
      </c>
      <c r="G38" s="3" t="s">
        <v>824</v>
      </c>
      <c r="H38" s="3" t="s">
        <v>825</v>
      </c>
      <c r="I38" s="3" t="s">
        <v>826</v>
      </c>
      <c r="J38" s="3"/>
    </row>
    <row r="39" customFormat="false" ht="15" hidden="false" customHeight="false" outlineLevel="0" collapsed="false">
      <c r="A39" s="1"/>
      <c r="B39" s="1"/>
      <c r="C39" s="1"/>
      <c r="D39" s="1"/>
      <c r="E39" s="1"/>
      <c r="F39" s="1"/>
      <c r="G39" s="1"/>
      <c r="H39" s="1"/>
      <c r="I39" s="1"/>
      <c r="J39" s="1"/>
    </row>
    <row r="40" customFormat="false" ht="15" hidden="false" customHeight="false" outlineLevel="0" collapsed="false">
      <c r="A40" s="1" t="s">
        <v>827</v>
      </c>
      <c r="B40" s="1"/>
      <c r="C40" s="1" t="s">
        <v>828</v>
      </c>
      <c r="D40" s="1"/>
      <c r="E40" s="1"/>
      <c r="F40" s="1"/>
      <c r="G40" s="1"/>
      <c r="H40" s="1"/>
      <c r="I40" s="1"/>
      <c r="J40" s="1"/>
    </row>
    <row r="41" customFormat="false" ht="15" hidden="false" customHeight="false" outlineLevel="0" collapsed="false">
      <c r="A41" s="1"/>
      <c r="B41" s="1"/>
      <c r="C41" s="1"/>
      <c r="D41" s="1"/>
      <c r="E41" s="1"/>
      <c r="F41" s="1"/>
      <c r="G41" s="1"/>
      <c r="H41" s="1"/>
      <c r="I41" s="1"/>
      <c r="J41" s="1"/>
    </row>
    <row r="42" customFormat="false" ht="15" hidden="false" customHeight="false" outlineLevel="0" collapsed="false">
      <c r="A42" s="1"/>
      <c r="B42" s="1"/>
      <c r="C42" s="1"/>
      <c r="D42" s="1"/>
      <c r="E42" s="1"/>
      <c r="F42" s="1"/>
      <c r="G42" s="1"/>
      <c r="H42" s="1"/>
      <c r="I42" s="1"/>
      <c r="J42" s="1"/>
    </row>
    <row r="43" customFormat="false" ht="15" hidden="false" customHeight="false" outlineLevel="0" collapsed="false">
      <c r="A43" s="1"/>
      <c r="B43" s="1"/>
      <c r="C43" s="1"/>
      <c r="D43" s="1"/>
      <c r="E43" s="1"/>
      <c r="F43" s="1"/>
      <c r="G43" s="1"/>
      <c r="H43" s="1"/>
      <c r="I43" s="1"/>
      <c r="J43"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15"/>
    <col collapsed="false" customWidth="true" hidden="false" outlineLevel="0" max="5" min="5" style="0" width="20"/>
    <col collapsed="false" customWidth="true" hidden="false" outlineLevel="0" max="6" min="6" style="0" width="80"/>
    <col collapsed="false" customWidth="true" hidden="false" outlineLevel="0" max="8" min="7" style="0" width="90"/>
    <col collapsed="false" customWidth="true" hidden="false" outlineLevel="0" max="9" min="9" style="0" width="30"/>
    <col collapsed="false" customWidth="true" hidden="false" outlineLevel="0" max="10" min="10" style="0" width="80"/>
    <col collapsed="false" customWidth="true" hidden="false" outlineLevel="0" max="11" min="11" style="0" width="72"/>
    <col collapsed="false" customWidth="true" hidden="false" outlineLevel="0" max="12" min="12" style="0" width="20"/>
    <col collapsed="false" customWidth="true" hidden="false" outlineLevel="0" max="13" min="13" style="0" width="65"/>
    <col collapsed="false" customWidth="true" hidden="false" outlineLevel="0" max="14" min="14" style="0" width="45"/>
  </cols>
  <sheetData>
    <row r="1" customFormat="false" ht="24" hidden="false" customHeight="true" outlineLevel="0" collapsed="false">
      <c r="A1" s="3"/>
      <c r="B1" s="3"/>
      <c r="C1" s="3"/>
      <c r="D1" s="3"/>
      <c r="E1" s="3"/>
      <c r="F1" s="3"/>
      <c r="G1" s="3"/>
      <c r="H1" s="3"/>
      <c r="I1" s="3"/>
      <c r="J1" s="3"/>
      <c r="K1" s="3"/>
      <c r="L1" s="3"/>
      <c r="M1" s="3"/>
      <c r="N1" s="3"/>
    </row>
    <row r="2" customFormat="false" ht="35" hidden="false" customHeight="true" outlineLevel="0" collapsed="false">
      <c r="A2" s="2" t="s">
        <v>829</v>
      </c>
      <c r="B2" s="3"/>
      <c r="C2" s="3"/>
      <c r="D2" s="3"/>
      <c r="E2" s="3"/>
      <c r="F2" s="3"/>
      <c r="G2" s="3"/>
      <c r="H2" s="3"/>
      <c r="I2" s="3"/>
      <c r="J2" s="3"/>
      <c r="K2" s="3"/>
      <c r="L2" s="3"/>
      <c r="M2" s="3"/>
      <c r="N2" s="3"/>
    </row>
    <row r="3" customFormat="false" ht="65" hidden="false" customHeight="true" outlineLevel="0" collapsed="false">
      <c r="A3" s="1" t="s">
        <v>830</v>
      </c>
      <c r="B3" s="3"/>
      <c r="C3" s="3"/>
      <c r="D3" s="3"/>
      <c r="E3" s="3"/>
      <c r="F3" s="3"/>
      <c r="G3" s="3"/>
      <c r="H3" s="3"/>
      <c r="I3" s="3"/>
      <c r="J3" s="3"/>
      <c r="K3" s="3"/>
      <c r="L3" s="3"/>
      <c r="M3" s="3"/>
      <c r="N3" s="3"/>
    </row>
    <row r="4" customFormat="false" ht="65" hidden="false" customHeight="true" outlineLevel="0" collapsed="false">
      <c r="A4" s="1" t="s">
        <v>831</v>
      </c>
      <c r="B4" s="3"/>
      <c r="C4" s="3"/>
      <c r="D4" s="3"/>
      <c r="E4" s="3"/>
      <c r="F4" s="3"/>
      <c r="G4" s="3"/>
      <c r="H4" s="3"/>
      <c r="I4" s="3"/>
      <c r="J4" s="3"/>
      <c r="K4" s="3"/>
      <c r="L4" s="3"/>
      <c r="M4" s="3"/>
      <c r="N4" s="3"/>
    </row>
    <row r="5" customFormat="false" ht="24" hidden="false" customHeight="true" outlineLevel="0" collapsed="false">
      <c r="A5" s="3"/>
      <c r="B5" s="3"/>
      <c r="C5" s="3"/>
      <c r="D5" s="3"/>
      <c r="E5" s="3"/>
      <c r="F5" s="3"/>
      <c r="G5" s="3"/>
      <c r="H5" s="3"/>
      <c r="I5" s="3"/>
      <c r="J5" s="3"/>
      <c r="K5" s="3"/>
      <c r="L5" s="3"/>
      <c r="M5" s="3"/>
      <c r="N5" s="3"/>
    </row>
    <row r="6" customFormat="false" ht="32" hidden="false" customHeight="true" outlineLevel="0" collapsed="false">
      <c r="A6" s="4" t="s">
        <v>764</v>
      </c>
      <c r="B6" s="4" t="s">
        <v>16</v>
      </c>
      <c r="C6" s="4" t="s">
        <v>765</v>
      </c>
      <c r="D6" s="4" t="s">
        <v>832</v>
      </c>
      <c r="E6" s="4" t="s">
        <v>833</v>
      </c>
      <c r="F6" s="4" t="s">
        <v>834</v>
      </c>
      <c r="G6" s="4" t="s">
        <v>835</v>
      </c>
      <c r="H6" s="4" t="s">
        <v>836</v>
      </c>
      <c r="I6" s="4" t="s">
        <v>769</v>
      </c>
      <c r="J6" s="4" t="s">
        <v>770</v>
      </c>
      <c r="K6" s="4" t="s">
        <v>771</v>
      </c>
      <c r="L6" s="4" t="s">
        <v>837</v>
      </c>
      <c r="M6" s="4" t="s">
        <v>838</v>
      </c>
      <c r="N6" s="4" t="s">
        <v>772</v>
      </c>
    </row>
    <row r="7" customFormat="false" ht="90" hidden="false" customHeight="true" outlineLevel="0" collapsed="false">
      <c r="A7" s="3" t="n">
        <v>1</v>
      </c>
      <c r="B7" s="3" t="s">
        <v>24</v>
      </c>
      <c r="C7" s="3" t="s">
        <v>94</v>
      </c>
      <c r="D7" s="3" t="s">
        <v>839</v>
      </c>
      <c r="E7" s="3" t="s">
        <v>840</v>
      </c>
      <c r="F7" s="3" t="s">
        <v>841</v>
      </c>
      <c r="G7" s="3" t="s">
        <v>842</v>
      </c>
      <c r="H7" s="3" t="s">
        <v>843</v>
      </c>
      <c r="I7" s="3" t="s">
        <v>787</v>
      </c>
      <c r="J7" s="3" t="s">
        <v>844</v>
      </c>
      <c r="K7" s="3"/>
      <c r="L7" s="3" t="s">
        <v>845</v>
      </c>
      <c r="M7" s="3" t="s">
        <v>846</v>
      </c>
      <c r="N7" s="3"/>
    </row>
    <row r="8" customFormat="false" ht="90" hidden="false" customHeight="true" outlineLevel="0" collapsed="false">
      <c r="A8" s="3" t="n">
        <v>2</v>
      </c>
      <c r="B8" s="3" t="s">
        <v>27</v>
      </c>
      <c r="C8" s="3" t="s">
        <v>94</v>
      </c>
      <c r="D8" s="3" t="s">
        <v>847</v>
      </c>
      <c r="E8" s="3" t="s">
        <v>840</v>
      </c>
      <c r="F8" s="3" t="s">
        <v>848</v>
      </c>
      <c r="G8" s="3" t="s">
        <v>849</v>
      </c>
      <c r="H8" s="3" t="s">
        <v>850</v>
      </c>
      <c r="I8" s="3" t="s">
        <v>787</v>
      </c>
      <c r="J8" s="3" t="s">
        <v>851</v>
      </c>
      <c r="K8" s="3" t="s">
        <v>852</v>
      </c>
      <c r="L8" s="3" t="s">
        <v>845</v>
      </c>
      <c r="M8" s="3" t="s">
        <v>853</v>
      </c>
      <c r="N8" s="3"/>
    </row>
    <row r="9" customFormat="false" ht="90" hidden="false" customHeight="true" outlineLevel="0" collapsed="false">
      <c r="A9" s="3" t="n">
        <v>3</v>
      </c>
      <c r="B9" s="3" t="s">
        <v>27</v>
      </c>
      <c r="C9" s="3" t="s">
        <v>101</v>
      </c>
      <c r="D9" s="3" t="s">
        <v>847</v>
      </c>
      <c r="E9" s="3" t="s">
        <v>840</v>
      </c>
      <c r="F9" s="3" t="s">
        <v>854</v>
      </c>
      <c r="G9" s="3" t="s">
        <v>855</v>
      </c>
      <c r="H9" s="3" t="s">
        <v>856</v>
      </c>
      <c r="I9" s="3" t="s">
        <v>787</v>
      </c>
      <c r="J9" s="3" t="s">
        <v>857</v>
      </c>
      <c r="K9" s="3" t="s">
        <v>858</v>
      </c>
      <c r="L9" s="3" t="s">
        <v>845</v>
      </c>
      <c r="M9" s="3" t="s">
        <v>859</v>
      </c>
      <c r="N9" s="3"/>
    </row>
    <row r="10" customFormat="false" ht="90" hidden="false" customHeight="true" outlineLevel="0" collapsed="false">
      <c r="A10" s="3" t="n">
        <v>4</v>
      </c>
      <c r="B10" s="3" t="s">
        <v>27</v>
      </c>
      <c r="C10" s="3" t="s">
        <v>104</v>
      </c>
      <c r="D10" s="3" t="s">
        <v>847</v>
      </c>
      <c r="E10" s="3" t="s">
        <v>840</v>
      </c>
      <c r="F10" s="3" t="s">
        <v>860</v>
      </c>
      <c r="G10" s="3" t="s">
        <v>861</v>
      </c>
      <c r="H10" s="3" t="s">
        <v>856</v>
      </c>
      <c r="I10" s="3" t="s">
        <v>787</v>
      </c>
      <c r="J10" s="3" t="s">
        <v>862</v>
      </c>
      <c r="K10" s="3"/>
      <c r="L10" s="3" t="s">
        <v>845</v>
      </c>
      <c r="M10" s="3" t="s">
        <v>863</v>
      </c>
      <c r="N10" s="3"/>
    </row>
    <row r="11" customFormat="false" ht="90" hidden="false" customHeight="true" outlineLevel="0" collapsed="false">
      <c r="A11" s="3" t="n">
        <v>5</v>
      </c>
      <c r="B11" s="3" t="s">
        <v>27</v>
      </c>
      <c r="C11" s="3" t="s">
        <v>106</v>
      </c>
      <c r="D11" s="3" t="s">
        <v>847</v>
      </c>
      <c r="E11" s="3" t="s">
        <v>840</v>
      </c>
      <c r="F11" s="3" t="s">
        <v>860</v>
      </c>
      <c r="G11" s="3" t="s">
        <v>861</v>
      </c>
      <c r="H11" s="3" t="s">
        <v>856</v>
      </c>
      <c r="I11" s="3" t="s">
        <v>787</v>
      </c>
      <c r="J11" s="3" t="s">
        <v>862</v>
      </c>
      <c r="K11" s="3"/>
      <c r="L11" s="3" t="s">
        <v>845</v>
      </c>
      <c r="M11" s="3" t="s">
        <v>864</v>
      </c>
      <c r="N11" s="3"/>
    </row>
    <row r="12" customFormat="false" ht="90" hidden="false" customHeight="true" outlineLevel="0" collapsed="false">
      <c r="A12" s="3" t="n">
        <v>6</v>
      </c>
      <c r="B12" s="3" t="s">
        <v>27</v>
      </c>
      <c r="C12" s="3" t="s">
        <v>108</v>
      </c>
      <c r="D12" s="3" t="s">
        <v>847</v>
      </c>
      <c r="E12" s="3" t="s">
        <v>840</v>
      </c>
      <c r="F12" s="3" t="s">
        <v>860</v>
      </c>
      <c r="G12" s="3" t="s">
        <v>861</v>
      </c>
      <c r="H12" s="3" t="s">
        <v>856</v>
      </c>
      <c r="I12" s="3" t="s">
        <v>787</v>
      </c>
      <c r="J12" s="3" t="s">
        <v>862</v>
      </c>
      <c r="K12" s="3"/>
      <c r="L12" s="3" t="s">
        <v>845</v>
      </c>
      <c r="M12" s="3" t="s">
        <v>865</v>
      </c>
      <c r="N12" s="3"/>
    </row>
    <row r="13" customFormat="false" ht="90" hidden="false" customHeight="true" outlineLevel="0" collapsed="false">
      <c r="A13" s="3" t="n">
        <v>7</v>
      </c>
      <c r="B13" s="3" t="s">
        <v>24</v>
      </c>
      <c r="C13" s="3" t="s">
        <v>110</v>
      </c>
      <c r="D13" s="3" t="s">
        <v>839</v>
      </c>
      <c r="E13" s="3" t="s">
        <v>840</v>
      </c>
      <c r="F13" s="3" t="s">
        <v>866</v>
      </c>
      <c r="G13" s="3" t="s">
        <v>867</v>
      </c>
      <c r="H13" s="3" t="s">
        <v>868</v>
      </c>
      <c r="I13" s="3" t="s">
        <v>787</v>
      </c>
      <c r="J13" s="3" t="s">
        <v>869</v>
      </c>
      <c r="K13" s="3" t="s">
        <v>870</v>
      </c>
      <c r="L13" s="3" t="s">
        <v>845</v>
      </c>
      <c r="M13" s="3" t="s">
        <v>871</v>
      </c>
      <c r="N13" s="3"/>
    </row>
    <row r="14" customFormat="false" ht="90" hidden="false" customHeight="true" outlineLevel="0" collapsed="false">
      <c r="A14" s="3" t="n">
        <v>8</v>
      </c>
      <c r="B14" s="3" t="s">
        <v>33</v>
      </c>
      <c r="C14" s="3" t="s">
        <v>113</v>
      </c>
      <c r="D14" s="3" t="s">
        <v>847</v>
      </c>
      <c r="E14" s="3" t="s">
        <v>840</v>
      </c>
      <c r="F14" s="3" t="s">
        <v>872</v>
      </c>
      <c r="G14" s="3" t="s">
        <v>873</v>
      </c>
      <c r="H14" s="3" t="s">
        <v>874</v>
      </c>
      <c r="I14" s="3" t="s">
        <v>787</v>
      </c>
      <c r="J14" s="3" t="s">
        <v>875</v>
      </c>
      <c r="K14" s="3" t="s">
        <v>876</v>
      </c>
      <c r="L14" s="3" t="s">
        <v>845</v>
      </c>
      <c r="M14" s="3" t="s">
        <v>877</v>
      </c>
      <c r="N14" s="3"/>
    </row>
    <row r="15" customFormat="false" ht="90" hidden="false" customHeight="true" outlineLevel="0" collapsed="false">
      <c r="A15" s="3" t="n">
        <v>9</v>
      </c>
      <c r="B15" s="3" t="s">
        <v>27</v>
      </c>
      <c r="C15" s="3" t="s">
        <v>118</v>
      </c>
      <c r="D15" s="3" t="s">
        <v>847</v>
      </c>
      <c r="E15" s="3" t="s">
        <v>840</v>
      </c>
      <c r="F15" s="3" t="s">
        <v>878</v>
      </c>
      <c r="G15" s="3" t="s">
        <v>879</v>
      </c>
      <c r="H15" s="3" t="s">
        <v>880</v>
      </c>
      <c r="I15" s="3" t="s">
        <v>881</v>
      </c>
      <c r="J15" s="3" t="s">
        <v>882</v>
      </c>
      <c r="K15" s="3" t="s">
        <v>883</v>
      </c>
      <c r="L15" s="3" t="s">
        <v>845</v>
      </c>
      <c r="M15" s="3" t="s">
        <v>884</v>
      </c>
      <c r="N15" s="3"/>
    </row>
    <row r="16" customFormat="false" ht="90" hidden="false" customHeight="true" outlineLevel="0" collapsed="false">
      <c r="A16" s="3" t="n">
        <v>10</v>
      </c>
      <c r="B16" s="3" t="s">
        <v>27</v>
      </c>
      <c r="C16" s="3" t="s">
        <v>125</v>
      </c>
      <c r="D16" s="3" t="s">
        <v>847</v>
      </c>
      <c r="E16" s="3" t="s">
        <v>840</v>
      </c>
      <c r="F16" s="3" t="s">
        <v>885</v>
      </c>
      <c r="G16" s="3" t="s">
        <v>886</v>
      </c>
      <c r="H16" s="3" t="s">
        <v>887</v>
      </c>
      <c r="I16" s="3" t="s">
        <v>881</v>
      </c>
      <c r="J16" s="3" t="s">
        <v>888</v>
      </c>
      <c r="K16" s="3"/>
      <c r="L16" s="3" t="s">
        <v>845</v>
      </c>
      <c r="M16" s="3" t="s">
        <v>889</v>
      </c>
      <c r="N16" s="3"/>
    </row>
    <row r="17" customFormat="false" ht="90" hidden="false" customHeight="true" outlineLevel="0" collapsed="false">
      <c r="A17" s="3" t="n">
        <v>11</v>
      </c>
      <c r="B17" s="3" t="s">
        <v>27</v>
      </c>
      <c r="C17" s="3" t="s">
        <v>128</v>
      </c>
      <c r="D17" s="3" t="s">
        <v>847</v>
      </c>
      <c r="E17" s="3" t="s">
        <v>890</v>
      </c>
      <c r="F17" s="3" t="s">
        <v>891</v>
      </c>
      <c r="G17" s="3" t="s">
        <v>892</v>
      </c>
      <c r="H17" s="3" t="s">
        <v>893</v>
      </c>
      <c r="I17" s="3" t="s">
        <v>894</v>
      </c>
      <c r="J17" s="3" t="s">
        <v>895</v>
      </c>
      <c r="K17" s="3" t="s">
        <v>896</v>
      </c>
      <c r="L17" s="3" t="s">
        <v>845</v>
      </c>
      <c r="M17" s="3" t="s">
        <v>897</v>
      </c>
      <c r="N17" s="3"/>
    </row>
    <row r="18" customFormat="false" ht="90" hidden="false" customHeight="true" outlineLevel="0" collapsed="false">
      <c r="A18" s="3" t="n">
        <v>12</v>
      </c>
      <c r="B18" s="3" t="s">
        <v>27</v>
      </c>
      <c r="C18" s="3" t="s">
        <v>131</v>
      </c>
      <c r="D18" s="3" t="s">
        <v>847</v>
      </c>
      <c r="E18" s="3" t="s">
        <v>890</v>
      </c>
      <c r="F18" s="3" t="s">
        <v>898</v>
      </c>
      <c r="G18" s="3" t="s">
        <v>861</v>
      </c>
      <c r="H18" s="3" t="s">
        <v>899</v>
      </c>
      <c r="I18" s="3" t="s">
        <v>787</v>
      </c>
      <c r="J18" s="3" t="s">
        <v>900</v>
      </c>
      <c r="K18" s="3" t="s">
        <v>901</v>
      </c>
      <c r="L18" s="3" t="s">
        <v>845</v>
      </c>
      <c r="M18" s="3" t="s">
        <v>902</v>
      </c>
      <c r="N18" s="3"/>
    </row>
    <row r="19" customFormat="false" ht="90" hidden="false" customHeight="true" outlineLevel="0" collapsed="false">
      <c r="A19" s="3" t="n">
        <v>13</v>
      </c>
      <c r="B19" s="3" t="s">
        <v>27</v>
      </c>
      <c r="C19" s="3" t="s">
        <v>136</v>
      </c>
      <c r="D19" s="3" t="s">
        <v>847</v>
      </c>
      <c r="E19" s="3" t="s">
        <v>890</v>
      </c>
      <c r="F19" s="3" t="s">
        <v>903</v>
      </c>
      <c r="G19" s="3" t="s">
        <v>904</v>
      </c>
      <c r="H19" s="3" t="s">
        <v>905</v>
      </c>
      <c r="I19" s="3" t="s">
        <v>798</v>
      </c>
      <c r="J19" s="3" t="s">
        <v>906</v>
      </c>
      <c r="K19" s="3" t="s">
        <v>907</v>
      </c>
      <c r="L19" s="3" t="s">
        <v>845</v>
      </c>
      <c r="M19" s="3" t="s">
        <v>908</v>
      </c>
      <c r="N19" s="3"/>
    </row>
    <row r="20" customFormat="false" ht="90" hidden="false" customHeight="true" outlineLevel="0" collapsed="false">
      <c r="A20" s="3" t="n">
        <v>14</v>
      </c>
      <c r="B20" s="3" t="s">
        <v>24</v>
      </c>
      <c r="C20" s="3" t="s">
        <v>143</v>
      </c>
      <c r="D20" s="3" t="s">
        <v>839</v>
      </c>
      <c r="E20" s="3" t="s">
        <v>890</v>
      </c>
      <c r="F20" s="3" t="s">
        <v>909</v>
      </c>
      <c r="G20" s="3" t="s">
        <v>861</v>
      </c>
      <c r="H20" s="3" t="s">
        <v>910</v>
      </c>
      <c r="I20" s="3" t="s">
        <v>787</v>
      </c>
      <c r="J20" s="3" t="s">
        <v>911</v>
      </c>
      <c r="K20" s="3" t="s">
        <v>912</v>
      </c>
      <c r="L20" s="3" t="s">
        <v>845</v>
      </c>
      <c r="M20" s="3" t="s">
        <v>913</v>
      </c>
      <c r="N20" s="3"/>
    </row>
    <row r="21" customFormat="false" ht="90" hidden="false" customHeight="true" outlineLevel="0" collapsed="false">
      <c r="A21" s="3" t="n">
        <v>15</v>
      </c>
      <c r="B21" s="3" t="s">
        <v>27</v>
      </c>
      <c r="C21" s="3" t="s">
        <v>143</v>
      </c>
      <c r="D21" s="3" t="s">
        <v>847</v>
      </c>
      <c r="E21" s="3" t="s">
        <v>890</v>
      </c>
      <c r="F21" s="3" t="s">
        <v>914</v>
      </c>
      <c r="G21" s="3" t="s">
        <v>861</v>
      </c>
      <c r="H21" s="3" t="s">
        <v>915</v>
      </c>
      <c r="I21" s="3" t="s">
        <v>787</v>
      </c>
      <c r="J21" s="3" t="s">
        <v>916</v>
      </c>
      <c r="K21" s="3" t="s">
        <v>917</v>
      </c>
      <c r="L21" s="3" t="s">
        <v>845</v>
      </c>
      <c r="M21" s="3" t="s">
        <v>918</v>
      </c>
      <c r="N21" s="3"/>
    </row>
    <row r="22" customFormat="false" ht="90" hidden="false" customHeight="true" outlineLevel="0" collapsed="false">
      <c r="A22" s="3" t="n">
        <v>16</v>
      </c>
      <c r="B22" s="3" t="s">
        <v>24</v>
      </c>
      <c r="C22" s="3" t="s">
        <v>157</v>
      </c>
      <c r="D22" s="3" t="s">
        <v>839</v>
      </c>
      <c r="E22" s="3" t="s">
        <v>890</v>
      </c>
      <c r="F22" s="3" t="s">
        <v>919</v>
      </c>
      <c r="G22" s="3" t="s">
        <v>920</v>
      </c>
      <c r="H22" s="3" t="s">
        <v>921</v>
      </c>
      <c r="I22" s="3" t="s">
        <v>824</v>
      </c>
      <c r="J22" s="3" t="s">
        <v>922</v>
      </c>
      <c r="K22" s="3" t="s">
        <v>923</v>
      </c>
      <c r="L22" s="3" t="s">
        <v>924</v>
      </c>
      <c r="M22" s="3" t="s">
        <v>925</v>
      </c>
      <c r="N22" s="3"/>
    </row>
    <row r="23" customFormat="false" ht="90" hidden="false" customHeight="true" outlineLevel="0" collapsed="false">
      <c r="A23" s="3" t="n">
        <v>17</v>
      </c>
      <c r="B23" s="3" t="s">
        <v>24</v>
      </c>
      <c r="C23" s="3" t="s">
        <v>160</v>
      </c>
      <c r="D23" s="3" t="s">
        <v>839</v>
      </c>
      <c r="E23" s="3" t="s">
        <v>890</v>
      </c>
      <c r="F23" s="3" t="s">
        <v>926</v>
      </c>
      <c r="G23" s="3" t="s">
        <v>927</v>
      </c>
      <c r="H23" s="3" t="s">
        <v>928</v>
      </c>
      <c r="I23" s="3" t="s">
        <v>929</v>
      </c>
      <c r="J23" s="3" t="s">
        <v>930</v>
      </c>
      <c r="K23" s="3" t="s">
        <v>931</v>
      </c>
      <c r="L23" s="3" t="s">
        <v>932</v>
      </c>
      <c r="M23" s="3" t="s">
        <v>933</v>
      </c>
      <c r="N23" s="3"/>
    </row>
    <row r="24" customFormat="false" ht="90" hidden="false" customHeight="true" outlineLevel="0" collapsed="false">
      <c r="A24" s="3" t="n">
        <v>18</v>
      </c>
      <c r="B24" s="3" t="s">
        <v>27</v>
      </c>
      <c r="C24" s="3" t="s">
        <v>160</v>
      </c>
      <c r="D24" s="3" t="s">
        <v>847</v>
      </c>
      <c r="E24" s="3" t="s">
        <v>890</v>
      </c>
      <c r="F24" s="3" t="s">
        <v>934</v>
      </c>
      <c r="G24" s="3" t="s">
        <v>935</v>
      </c>
      <c r="H24" s="3" t="s">
        <v>928</v>
      </c>
      <c r="I24" s="3" t="s">
        <v>929</v>
      </c>
      <c r="J24" s="3" t="s">
        <v>936</v>
      </c>
      <c r="K24" s="3" t="s">
        <v>937</v>
      </c>
      <c r="L24" s="3" t="s">
        <v>932</v>
      </c>
      <c r="M24" s="3" t="s">
        <v>938</v>
      </c>
      <c r="N24" s="3"/>
    </row>
    <row r="25" customFormat="false" ht="90" hidden="false" customHeight="true" outlineLevel="0" collapsed="false">
      <c r="A25" s="3" t="n">
        <v>19</v>
      </c>
      <c r="B25" s="3" t="s">
        <v>24</v>
      </c>
      <c r="C25" s="3" t="s">
        <v>118</v>
      </c>
      <c r="D25" s="3" t="s">
        <v>847</v>
      </c>
      <c r="E25" s="3" t="s">
        <v>890</v>
      </c>
      <c r="F25" s="3" t="s">
        <v>939</v>
      </c>
      <c r="G25" s="3" t="s">
        <v>940</v>
      </c>
      <c r="H25" s="3" t="s">
        <v>928</v>
      </c>
      <c r="I25" s="3" t="s">
        <v>929</v>
      </c>
      <c r="J25" s="3" t="s">
        <v>941</v>
      </c>
      <c r="K25" s="3" t="s">
        <v>942</v>
      </c>
      <c r="L25" s="3" t="s">
        <v>932</v>
      </c>
      <c r="M25" s="3" t="s">
        <v>943</v>
      </c>
      <c r="N25" s="3"/>
    </row>
    <row r="26" customFormat="false" ht="90" hidden="false" customHeight="true" outlineLevel="0" collapsed="false">
      <c r="A26" s="3" t="n">
        <v>20</v>
      </c>
      <c r="B26" s="3" t="s">
        <v>27</v>
      </c>
      <c r="C26" s="3" t="s">
        <v>118</v>
      </c>
      <c r="D26" s="3" t="s">
        <v>839</v>
      </c>
      <c r="E26" s="3" t="s">
        <v>890</v>
      </c>
      <c r="F26" s="3" t="s">
        <v>944</v>
      </c>
      <c r="G26" s="3" t="s">
        <v>945</v>
      </c>
      <c r="H26" s="3" t="s">
        <v>928</v>
      </c>
      <c r="I26" s="3" t="s">
        <v>929</v>
      </c>
      <c r="J26" s="3" t="s">
        <v>946</v>
      </c>
      <c r="K26" s="3" t="s">
        <v>947</v>
      </c>
      <c r="L26" s="3" t="s">
        <v>932</v>
      </c>
      <c r="M26" s="3" t="s">
        <v>943</v>
      </c>
      <c r="N26" s="3"/>
    </row>
    <row r="27" customFormat="false" ht="90" hidden="false" customHeight="true" outlineLevel="0" collapsed="false">
      <c r="A27" s="3" t="n">
        <v>21</v>
      </c>
      <c r="B27" s="3" t="s">
        <v>27</v>
      </c>
      <c r="C27" s="3" t="s">
        <v>173</v>
      </c>
      <c r="D27" s="3" t="s">
        <v>847</v>
      </c>
      <c r="E27" s="3" t="s">
        <v>890</v>
      </c>
      <c r="F27" s="3" t="s">
        <v>948</v>
      </c>
      <c r="G27" s="3" t="s">
        <v>949</v>
      </c>
      <c r="H27" s="3" t="s">
        <v>928</v>
      </c>
      <c r="I27" s="3" t="s">
        <v>929</v>
      </c>
      <c r="J27" s="3" t="s">
        <v>950</v>
      </c>
      <c r="K27" s="3"/>
      <c r="L27" s="3" t="s">
        <v>932</v>
      </c>
      <c r="M27" s="3" t="s">
        <v>951</v>
      </c>
      <c r="N27" s="3"/>
    </row>
    <row r="28" customFormat="false" ht="90" hidden="false" customHeight="true" outlineLevel="0" collapsed="false">
      <c r="A28" s="3" t="n">
        <v>22</v>
      </c>
      <c r="B28" s="3" t="s">
        <v>27</v>
      </c>
      <c r="C28" s="3" t="s">
        <v>176</v>
      </c>
      <c r="D28" s="3" t="s">
        <v>847</v>
      </c>
      <c r="E28" s="3" t="s">
        <v>890</v>
      </c>
      <c r="F28" s="3" t="s">
        <v>952</v>
      </c>
      <c r="G28" s="3" t="s">
        <v>892</v>
      </c>
      <c r="H28" s="3" t="s">
        <v>928</v>
      </c>
      <c r="I28" s="3" t="s">
        <v>929</v>
      </c>
      <c r="J28" s="3" t="s">
        <v>953</v>
      </c>
      <c r="K28" s="3"/>
      <c r="L28" s="3" t="s">
        <v>932</v>
      </c>
      <c r="M28" s="3" t="s">
        <v>954</v>
      </c>
      <c r="N28" s="3"/>
    </row>
    <row r="29" customFormat="false" ht="90" hidden="false" customHeight="true" outlineLevel="0" collapsed="false">
      <c r="A29" s="3" t="n">
        <v>23</v>
      </c>
      <c r="B29" s="3" t="s">
        <v>24</v>
      </c>
      <c r="C29" s="3" t="s">
        <v>181</v>
      </c>
      <c r="D29" s="3" t="s">
        <v>839</v>
      </c>
      <c r="E29" s="3" t="s">
        <v>890</v>
      </c>
      <c r="F29" s="3" t="s">
        <v>955</v>
      </c>
      <c r="G29" s="3" t="s">
        <v>956</v>
      </c>
      <c r="H29" s="3" t="s">
        <v>928</v>
      </c>
      <c r="I29" s="3" t="s">
        <v>929</v>
      </c>
      <c r="J29" s="3" t="s">
        <v>957</v>
      </c>
      <c r="K29" s="3" t="s">
        <v>958</v>
      </c>
      <c r="L29" s="3" t="s">
        <v>932</v>
      </c>
      <c r="M29" s="3" t="s">
        <v>959</v>
      </c>
      <c r="N29" s="3"/>
    </row>
    <row r="30" customFormat="false" ht="90" hidden="false" customHeight="true" outlineLevel="0" collapsed="false">
      <c r="A30" s="3" t="n">
        <v>24</v>
      </c>
      <c r="B30" s="3" t="s">
        <v>24</v>
      </c>
      <c r="C30" s="3" t="s">
        <v>74</v>
      </c>
      <c r="D30" s="3" t="s">
        <v>839</v>
      </c>
      <c r="E30" s="3" t="s">
        <v>890</v>
      </c>
      <c r="F30" s="3" t="s">
        <v>960</v>
      </c>
      <c r="G30" s="3" t="s">
        <v>961</v>
      </c>
      <c r="H30" s="3" t="s">
        <v>928</v>
      </c>
      <c r="I30" s="3" t="s">
        <v>929</v>
      </c>
      <c r="J30" s="3" t="s">
        <v>962</v>
      </c>
      <c r="K30" s="3"/>
      <c r="L30" s="3" t="s">
        <v>932</v>
      </c>
      <c r="M30" s="3" t="s">
        <v>963</v>
      </c>
      <c r="N30" s="3"/>
    </row>
    <row r="31" customFormat="false" ht="90" hidden="false" customHeight="true" outlineLevel="0" collapsed="false">
      <c r="A31" s="3" t="n">
        <v>25</v>
      </c>
      <c r="B31" s="3" t="s">
        <v>27</v>
      </c>
      <c r="C31" s="3" t="s">
        <v>188</v>
      </c>
      <c r="D31" s="3" t="s">
        <v>847</v>
      </c>
      <c r="E31" s="3" t="s">
        <v>890</v>
      </c>
      <c r="F31" s="3" t="s">
        <v>964</v>
      </c>
      <c r="G31" s="3" t="s">
        <v>965</v>
      </c>
      <c r="H31" s="3" t="s">
        <v>928</v>
      </c>
      <c r="I31" s="3" t="s">
        <v>929</v>
      </c>
      <c r="J31" s="3" t="s">
        <v>966</v>
      </c>
      <c r="K31" s="3" t="s">
        <v>967</v>
      </c>
      <c r="L31" s="3" t="s">
        <v>932</v>
      </c>
      <c r="M31" s="3" t="s">
        <v>968</v>
      </c>
      <c r="N31" s="3"/>
    </row>
    <row r="32" customFormat="false" ht="90" hidden="false" customHeight="true" outlineLevel="0" collapsed="false">
      <c r="A32" s="3" t="n">
        <v>26</v>
      </c>
      <c r="B32" s="3" t="s">
        <v>24</v>
      </c>
      <c r="C32" s="3" t="s">
        <v>191</v>
      </c>
      <c r="D32" s="3" t="s">
        <v>839</v>
      </c>
      <c r="E32" s="3" t="s">
        <v>890</v>
      </c>
      <c r="F32" s="3" t="s">
        <v>969</v>
      </c>
      <c r="G32" s="3" t="s">
        <v>970</v>
      </c>
      <c r="H32" s="3" t="s">
        <v>928</v>
      </c>
      <c r="I32" s="3" t="s">
        <v>929</v>
      </c>
      <c r="J32" s="3" t="s">
        <v>971</v>
      </c>
      <c r="K32" s="3" t="s">
        <v>972</v>
      </c>
      <c r="L32" s="3" t="s">
        <v>932</v>
      </c>
      <c r="M32" s="3" t="s">
        <v>973</v>
      </c>
      <c r="N32" s="3"/>
    </row>
    <row r="33" customFormat="false" ht="90" hidden="false" customHeight="true" outlineLevel="0" collapsed="false">
      <c r="A33" s="3" t="n">
        <v>27</v>
      </c>
      <c r="B33" s="3" t="s">
        <v>24</v>
      </c>
      <c r="C33" s="3" t="s">
        <v>196</v>
      </c>
      <c r="D33" s="3" t="s">
        <v>847</v>
      </c>
      <c r="E33" s="3" t="s">
        <v>890</v>
      </c>
      <c r="F33" s="3" t="s">
        <v>974</v>
      </c>
      <c r="G33" s="3" t="s">
        <v>961</v>
      </c>
      <c r="H33" s="3" t="s">
        <v>928</v>
      </c>
      <c r="I33" s="3" t="s">
        <v>929</v>
      </c>
      <c r="J33" s="3" t="s">
        <v>975</v>
      </c>
      <c r="K33" s="3"/>
      <c r="L33" s="3" t="s">
        <v>932</v>
      </c>
      <c r="M33" s="3" t="s">
        <v>976</v>
      </c>
      <c r="N33" s="3"/>
    </row>
    <row r="34" customFormat="false" ht="90" hidden="false" customHeight="true" outlineLevel="0" collapsed="false">
      <c r="A34" s="3" t="n">
        <v>28</v>
      </c>
      <c r="B34" s="3" t="s">
        <v>24</v>
      </c>
      <c r="C34" s="3" t="s">
        <v>196</v>
      </c>
      <c r="D34" s="3" t="s">
        <v>839</v>
      </c>
      <c r="E34" s="3" t="s">
        <v>890</v>
      </c>
      <c r="F34" s="3" t="s">
        <v>977</v>
      </c>
      <c r="G34" s="3" t="s">
        <v>961</v>
      </c>
      <c r="H34" s="3" t="s">
        <v>928</v>
      </c>
      <c r="I34" s="3" t="s">
        <v>929</v>
      </c>
      <c r="J34" s="3" t="s">
        <v>978</v>
      </c>
      <c r="K34" s="3"/>
      <c r="L34" s="3" t="s">
        <v>932</v>
      </c>
      <c r="M34" s="3" t="s">
        <v>976</v>
      </c>
      <c r="N34" s="3"/>
    </row>
    <row r="35" customFormat="false" ht="15" hidden="false" customHeight="false" outlineLevel="0" collapsed="false">
      <c r="A35" s="1"/>
      <c r="B35" s="1"/>
      <c r="C35" s="1"/>
      <c r="D35" s="1"/>
      <c r="E35" s="1"/>
      <c r="F35" s="1"/>
      <c r="G35" s="1"/>
      <c r="H35" s="1"/>
      <c r="I35" s="1"/>
      <c r="J35" s="1"/>
      <c r="K35" s="1"/>
      <c r="L35" s="1"/>
      <c r="M35" s="1"/>
      <c r="N35" s="1"/>
    </row>
    <row r="36" customFormat="false" ht="15" hidden="false" customHeight="false" outlineLevel="0" collapsed="false">
      <c r="A36" s="1" t="s">
        <v>827</v>
      </c>
      <c r="B36" s="1"/>
      <c r="C36" s="1" t="s">
        <v>828</v>
      </c>
      <c r="D36" s="1"/>
      <c r="E36" s="1"/>
      <c r="F36" s="1"/>
      <c r="G36" s="1"/>
      <c r="H36" s="1"/>
      <c r="I36" s="1"/>
      <c r="J36" s="1"/>
      <c r="K36" s="1"/>
      <c r="L36" s="1"/>
      <c r="M36" s="1"/>
      <c r="N36" s="1"/>
    </row>
    <row r="37" customFormat="false" ht="15" hidden="false" customHeight="false" outlineLevel="0" collapsed="false">
      <c r="A37" s="1"/>
      <c r="B37" s="1"/>
      <c r="C37" s="1"/>
      <c r="D37" s="1"/>
      <c r="E37" s="1"/>
      <c r="F37" s="1"/>
      <c r="G37" s="1"/>
      <c r="H37" s="1"/>
      <c r="I37" s="1"/>
      <c r="J37" s="1"/>
      <c r="K37" s="1"/>
      <c r="L37" s="1"/>
      <c r="M37" s="1"/>
      <c r="N37" s="1"/>
    </row>
    <row r="38" customFormat="false" ht="15" hidden="false" customHeight="false" outlineLevel="0" collapsed="false">
      <c r="A38" s="1"/>
      <c r="B38" s="1"/>
      <c r="C38" s="1"/>
      <c r="D38" s="1"/>
      <c r="E38" s="1"/>
      <c r="F38" s="1"/>
      <c r="G38" s="1"/>
      <c r="H38" s="1"/>
      <c r="I38" s="1"/>
      <c r="J38" s="1"/>
      <c r="K38" s="1"/>
      <c r="L38" s="1"/>
      <c r="M38" s="1"/>
      <c r="N38" s="1"/>
    </row>
    <row r="39" customFormat="false" ht="15" hidden="false" customHeight="false" outlineLevel="0" collapsed="false">
      <c r="A39" s="1"/>
      <c r="B39" s="1"/>
      <c r="C39" s="1"/>
      <c r="D39" s="1"/>
      <c r="E39" s="1"/>
      <c r="F39" s="1"/>
      <c r="G39" s="1"/>
      <c r="H39" s="1"/>
      <c r="I39" s="1"/>
      <c r="J39" s="1"/>
      <c r="K39" s="1"/>
      <c r="L39" s="1"/>
      <c r="M39" s="1"/>
      <c r="N39"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